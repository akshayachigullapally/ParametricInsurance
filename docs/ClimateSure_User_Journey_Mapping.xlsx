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999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icroservices" sheetId="2" state="visible" r:id="rId2"/>
    <sheet xmlns:r="http://schemas.openxmlformats.org/officeDocument/2006/relationships" name="API Endpoints" sheetId="3" state="visible" r:id="rId3"/>
    <sheet xmlns:r="http://schemas.openxmlformats.org/officeDocument/2006/relationships" name="Service Methods" sheetId="4" state="visible" r:id="rId4"/>
    <sheet xmlns:r="http://schemas.openxmlformats.org/officeDocument/2006/relationships" name="Inter-Service Calls" sheetId="5" state="visible" r:id="rId5"/>
    <sheet xmlns:r="http://schemas.openxmlformats.org/officeDocument/2006/relationships" name="Data Model" sheetId="6" state="visible" r:id="rId6"/>
    <sheet xmlns:r="http://schemas.openxmlformats.org/officeDocument/2006/relationships" name="Status Lifecycles" sheetId="7" state="visible" r:id="rId7"/>
    <sheet xmlns:r="http://schemas.openxmlformats.org/officeDocument/2006/relationships" name="Frontend Pages" sheetId="8" state="visible" r:id="rId8"/>
    <sheet xmlns:r="http://schemas.openxmlformats.org/officeDocument/2006/relationships" name="UJ-01" sheetId="9" state="visible" r:id="rId9"/>
    <sheet xmlns:r="http://schemas.openxmlformats.org/officeDocument/2006/relationships" name="UJ-02" sheetId="10" state="visible" r:id="rId10"/>
    <sheet xmlns:r="http://schemas.openxmlformats.org/officeDocument/2006/relationships" name="UJ-03" sheetId="11" state="visible" r:id="rId11"/>
    <sheet xmlns:r="http://schemas.openxmlformats.org/officeDocument/2006/relationships" name="UJ-04" sheetId="12" state="visible" r:id="rId12"/>
    <sheet xmlns:r="http://schemas.openxmlformats.org/officeDocument/2006/relationships" name="UJ-05" sheetId="13" state="visible" r:id="rId13"/>
    <sheet xmlns:r="http://schemas.openxmlformats.org/officeDocument/2006/relationships" name="UJ-06" sheetId="14" state="visible" r:id="rId14"/>
    <sheet xmlns:r="http://schemas.openxmlformats.org/officeDocument/2006/relationships" name="UJ-07" sheetId="15" state="visible" r:id="rId15"/>
    <sheet xmlns:r="http://schemas.openxmlformats.org/officeDocument/2006/relationships" name="UJ-08" sheetId="16" state="visible" r:id="rId16"/>
    <sheet xmlns:r="http://schemas.openxmlformats.org/officeDocument/2006/relationships" name="UJ-09" sheetId="17" state="visible" r:id="rId17"/>
    <sheet xmlns:r="http://schemas.openxmlformats.org/officeDocument/2006/relationships" name="UJ-10" sheetId="18" state="visible" r:id="rId18"/>
    <sheet xmlns:r="http://schemas.openxmlformats.org/officeDocument/2006/relationships" name="UJ-11" sheetId="19" state="visible" r:id="rId19"/>
    <sheet xmlns:r="http://schemas.openxmlformats.org/officeDocument/2006/relationships" name="UJ-12" sheetId="20" state="visible" r:id="rId20"/>
    <sheet xmlns:r="http://schemas.openxmlformats.org/officeDocument/2006/relationships" name="UJ-13" sheetId="21" state="visible" r:id="rId21"/>
    <sheet xmlns:r="http://schemas.openxmlformats.org/officeDocument/2006/relationships" name="UJ-14" sheetId="22" state="visible" r:id="rId22"/>
    <sheet xmlns:r="http://schemas.openxmlformats.org/officeDocument/2006/relationships" name="UJ-15" sheetId="23" state="visible" r:id="rId23"/>
    <sheet xmlns:r="http://schemas.openxmlformats.org/officeDocument/2006/relationships" name="UJ-16" sheetId="24" state="visible" r:id="rId24"/>
    <sheet xmlns:r="http://schemas.openxmlformats.org/officeDocument/2006/relationships" name="UJ-17" sheetId="25" state="visible" r:id="rId25"/>
    <sheet xmlns:r="http://schemas.openxmlformats.org/officeDocument/2006/relationships" name="UJ-18" sheetId="26" state="visible" r:id="rId2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1F3864"/>
      <sz val="16"/>
    </font>
    <font>
      <name val="Arial"/>
      <i val="1"/>
      <color rgb="FF595959"/>
      <sz val="10"/>
    </font>
    <font>
      <name val="Arial"/>
      <b val="1"/>
      <color rgb="FF2E75B6"/>
      <sz val="11"/>
    </font>
    <font>
      <name val="Arial"/>
      <b val="1"/>
      <sz val="10"/>
    </font>
    <font>
      <name val="Arial"/>
      <sz val="10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color rgb="FF0563C1"/>
      <sz val="10"/>
      <u val="single"/>
    </font>
    <font>
      <name val="Arial"/>
      <family val="2"/>
      <b val="1"/>
      <color rgb="FF1F3864"/>
      <sz val="14"/>
    </font>
    <font>
      <name val="Calibri"/>
      <family val="2"/>
      <color theme="1"/>
      <sz val="14"/>
      <scheme val="minor"/>
    </font>
    <font>
      <name val="Arial"/>
      <family val="2"/>
      <b val="1"/>
      <color rgb="FFFFFFFF"/>
      <sz val="14"/>
    </font>
    <font>
      <name val="Arial"/>
      <family val="2"/>
      <sz val="14"/>
    </font>
    <font>
      <name val="Arial"/>
      <family val="2"/>
      <b val="1"/>
      <sz val="14"/>
    </font>
    <font/>
  </fonts>
  <fills count="8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/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2" borderId="1" pivotButton="0" quotePrefix="0" xfId="0"/>
    <xf numFmtId="0" fontId="0" fillId="0" borderId="2" pivotButton="0" quotePrefix="0" xfId="0"/>
    <xf numFmtId="0" fontId="5" fillId="0" borderId="1" applyAlignment="1" pivotButton="0" quotePrefix="0" xfId="0">
      <alignment vertical="top" wrapText="1"/>
    </xf>
    <xf numFmtId="0" fontId="0" fillId="0" borderId="3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13" fillId="2" borderId="1" applyAlignment="1" pivotButton="0" quotePrefix="0" xfId="0">
      <alignment vertical="top" wrapText="1"/>
    </xf>
    <xf numFmtId="0" fontId="14" fillId="0" borderId="6" pivotButton="0" quotePrefix="0" xfId="0"/>
  </cellXfs>
  <cellStyles count="1">
    <cellStyle name="Normal" xfId="0" builtinId="0"/>
  </cellStyles>
  <dxfs count="19"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Endpoints" displayName="Endpoints" ref="A3:P210" headerRowCount="1" headerRowDxfId="2" dataDxfId="0" totalsRowDxfId="1">
  <autoFilter ref="A3:P210"/>
  <tableColumns count="16">
    <tableColumn id="1" name="ID" dataDxfId="18"/>
    <tableColumn id="2" name="Service" dataDxfId="17"/>
    <tableColumn id="3" name="Eureka name" dataDxfId="16"/>
    <tableColumn id="4" name="Router" dataDxfId="15"/>
    <tableColumn id="5" name="HTTP" dataDxfId="14"/>
    <tableColumn id="6" name="Path" dataDxfId="13"/>
    <tableColumn id="7" name="Consumes" dataDxfId="12"/>
    <tableColumn id="8" name="Scope" dataDxfId="11"/>
    <tableColumn id="9" name="Allowed roles" dataDxfId="10"/>
    <tableColumn id="10" name="Gateway / access path" dataDxfId="9"/>
    <tableColumn id="11" name="Handler method" dataDxfId="8"/>
    <tableColumn id="12" name="Delegates to (service methods)" dataDxfId="7"/>
    <tableColumn id="13" name="Business description &amp; rules" dataDxfId="6"/>
    <tableColumn id="14" name="Downstream calls / side effects (notifications, audit, DB)" dataDxfId="5"/>
    <tableColumn id="15" name="Called from SPA (Angular service.method)" dataDxfId="4"/>
    <tableColumn id="16" name="SPA pages (routes)" dataDxfId="3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Methods" displayName="Methods" ref="A4:F543" headerRowCount="1">
  <autoFilter ref="A4:F543"/>
  <tableColumns count="6">
    <tableColumn id="1" name="Service"/>
    <tableColumn id="2" name="Layer"/>
    <tableColumn id="3" name="Class"/>
    <tableColumn id="4" name="Method"/>
    <tableColumn id="5" name="Signature (return type + parameters)"/>
    <tableColumn id="6" name="@Scheduled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InterService" displayName="InterService" ref="A4:J36" headerRowCount="1">
  <autoFilter ref="A4:J36"/>
  <tableColumns count="10">
    <tableColumn id="1" name="ID"/>
    <tableColumn id="2" name="Caller service"/>
    <tableColumn id="3" name="Caller class.method"/>
    <tableColumn id="4" name="Client method"/>
    <tableColumn id="5" name="HTTP"/>
    <tableColumn id="6" name="Target URL"/>
    <tableColumn id="7" name="Target service"/>
    <tableColumn id="8" name="Target handler -&gt; service"/>
    <tableColumn id="9" name="Purpose"/>
    <tableColumn id="10" name="Failure handling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DataModel" displayName="DataModel" ref="A4:E80" headerRowCount="1">
  <autoFilter ref="A4:E80"/>
  <tableColumns count="5">
    <tableColumn id="1" name="Service"/>
    <tableColumn id="2" name="Kind"/>
    <tableColumn id="3" name="Table name"/>
    <tableColumn id="4" name="Model class"/>
    <tableColumn id="5" name="Value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Lifecycles" displayName="Lifecycles" ref="A4:E37" headerRowCount="1">
  <autoFilter ref="A4:E37"/>
  <tableColumns count="5">
    <tableColumn id="1" name="Entity"/>
    <tableColumn id="2" name="Service"/>
    <tableColumn id="3" name="Transition"/>
    <tableColumn id="4" name="Triggered by (endpoint / job)"/>
    <tableColumn id="5" name="Actor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FrontendPages" displayName="FrontendPages" ref="A4:G57" headerRowCount="1">
  <autoFilter ref="A4:G57"/>
  <tableColumns count="7">
    <tableColumn id="1" name="Route"/>
    <tableColumn id="2" name="Layout"/>
    <tableColumn id="3" name="Role"/>
    <tableColumn id="4" name="Component"/>
    <tableColumn id="5" name="NgRx actions dispatched"/>
    <tableColumn id="6" name="Angular service methods"/>
    <tableColumn id="7" name="Backend endpoints called (via gateway)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H57"/>
  <sheetViews>
    <sheetView showGridLines="0" topLeftCell="A13" zoomScale="82" workbookViewId="0">
      <selection activeCell="E1" sqref="E1"/>
    </sheetView>
  </sheetViews>
  <sheetFormatPr baseColWidth="8" defaultRowHeight="14.5"/>
  <cols>
    <col width="34" customWidth="1" style="20" min="1" max="1"/>
    <col width="44" customWidth="1" style="20" min="2" max="2"/>
    <col width="26" customWidth="1" style="20" min="3" max="3"/>
    <col width="40" customWidth="1" style="20" min="4" max="4"/>
    <col width="8" customWidth="1" style="20" min="5" max="5"/>
    <col width="60" customWidth="1" style="20" min="6" max="6"/>
    <col width="12" customWidth="1" style="20" min="7" max="8"/>
  </cols>
  <sheetData>
    <row r="1" ht="20" customHeight="1" s="20">
      <c r="A1" s="1" t="inlineStr">
        <is>
          <t>ClimateSure Parametric Insurance - User Journey &amp; Service Mapping</t>
        </is>
      </c>
    </row>
    <row r="3">
      <c r="A3" s="3" t="inlineStr">
        <is>
          <t>1. Application summary</t>
        </is>
      </c>
    </row>
    <row r="4" ht="45" customHeight="1" s="20">
      <c r="A4" s="4" t="inlineStr">
        <is>
          <t>Application</t>
        </is>
      </c>
      <c r="B4" s="19" t="inlineStr">
        <is>
          <t>ClimateSure - parametric (index-based) insurance platform. Policies pay out automatically when a measured weather/environmental index (rainfall, river level, temperature, wind...) in a location zone crosses the threshold captured in the policy, without a traditional loss-adjustment process.</t>
        </is>
      </c>
    </row>
    <row r="5" ht="45" customHeight="1" s="20">
      <c r="A5" s="4" t="inlineStr">
        <is>
          <t>Architecture</t>
        </is>
      </c>
      <c r="B5" s="19" t="inlineStr">
        <is>
          <t>Microservices: Spring Boot 4.1 / Spring Cloud 2025.1.3, fully reactive (WebFlux functional routers + R2DBC), Netflix Eureka discovery, Spring Cloud Gateway (WebFlux) as edge, JWT (jjwt) auth, synchronous REST between services via @LoadBalanced WebClient (no message broker).</t>
        </is>
      </c>
    </row>
    <row r="6" ht="45" customHeight="1" s="20">
      <c r="A6" s="4" t="inlineStr">
        <is>
          <t>Frontend</t>
        </is>
      </c>
      <c r="B6" s="19" t="inlineStr">
        <is>
          <t>Angular 21 SPA (standalone components, lazy routes) + NgRx 21 store/effects; role-based layouts (Public, Customer, Underwriter, Claims Officer, Admin); HTTP interceptors add Bearer token and refresh on 401; notifications pushed via SSE (EventSource).</t>
        </is>
      </c>
    </row>
    <row r="7" ht="45" customHeight="1" s="20">
      <c r="A7" s="4" t="inlineStr">
        <is>
          <t>Persistence</t>
        </is>
      </c>
      <c r="B7" s="19" t="inlineStr">
        <is>
          <t>One embedded H2 file database per service under ~/.climatesure/data (database-per-service); claim evidence files under ~/.climatesure/uploads. Schema from schema.sql on startup.</t>
        </is>
      </c>
    </row>
    <row r="8" ht="45" customHeight="1" s="20">
      <c r="A8" s="4" t="inlineStr">
        <is>
          <t>Roles</t>
        </is>
      </c>
      <c r="B8" s="19" t="inlineStr">
        <is>
          <t>ROLE_CUSTOMER, ROLE_UNDERWRITER, ROLE_CLAIMS_OFFICER, ROLE_CLAIMS_REVIEWER (mapped to CLAIMS_OFFICER by gateway), ROLE_ADMIN.</t>
        </is>
      </c>
    </row>
    <row r="9" ht="45" customHeight="1" s="20">
      <c r="A9" s="4" t="inlineStr">
        <is>
          <t>Entry point</t>
        </is>
      </c>
      <c r="B9" s="19" t="inlineStr">
        <is>
          <t>Browser -&gt; http://localhost:8080 (API Gateway). Services: Eureka 8761, Auth 8081, Product 8082, Claims 8083, Notification 8085, Trigger 8087, Financial 8088.</t>
        </is>
      </c>
    </row>
    <row r="10" ht="45" customHeight="1" s="20">
      <c r="A10" s="4" t="inlineStr">
        <is>
          <t>Core business loop</t>
        </is>
      </c>
      <c r="B10" s="19" t="inlineStr">
        <is>
          <t>Admin configures product + trigger -&gt; Customer quotes and applies -&gt; Underwriter approves -&gt; Customer pays premium (simulated, instant) -&gt; Admin records a measurement that crosses the threshold -&gt; VERIFIED trigger event -&gt; automatic claim per matching paid policy -&gt; Claims officer approves -&gt; payout paid at once -&gt; claim SETTLED, event PROCESSED; in-app notifications (live) at every step.</t>
        </is>
      </c>
    </row>
    <row r="12">
      <c r="A12" s="3" t="inlineStr">
        <is>
          <t>2. Key figures (live formulas over the detail sheets)</t>
        </is>
      </c>
    </row>
    <row r="13">
      <c r="A13" s="5" t="inlineStr">
        <is>
          <t>Backend microservices (business)</t>
        </is>
      </c>
      <c r="B13" s="6">
        <f>COUNTA(Microservices!A4:A11)-2</f>
        <v/>
      </c>
      <c r="C13" s="7" t="inlineStr">
        <is>
          <t>Excludes Eureka and Gateway rows</t>
        </is>
      </c>
    </row>
    <row r="14">
      <c r="A14" s="5" t="inlineStr">
        <is>
          <t>Total REST endpoints</t>
        </is>
      </c>
      <c r="B14" s="6">
        <f>COUNTA('API Endpoints'!A4:A399)</f>
        <v/>
      </c>
      <c r="C14" s="7" t="inlineStr">
        <is>
          <t>All routes parsed from router classes</t>
        </is>
      </c>
    </row>
    <row r="15">
      <c r="A15" s="5" t="inlineStr">
        <is>
          <t>- Public endpoints</t>
        </is>
      </c>
      <c r="B15" s="6">
        <f>COUNTIF('API Endpoints'!H4:H399,"Public")</f>
        <v/>
      </c>
      <c r="C15" s="7" t="inlineStr">
        <is>
          <t>No role required by the service</t>
        </is>
      </c>
    </row>
    <row r="16">
      <c r="A16" s="5" t="inlineStr">
        <is>
          <t>- Secured endpoints</t>
        </is>
      </c>
      <c r="B16" s="6">
        <f>COUNTIF('API Endpoints'!H4:H399,"Secured")</f>
        <v/>
      </c>
      <c r="C16" s="7" t="inlineStr">
        <is>
          <t>JWT + role</t>
        </is>
      </c>
    </row>
    <row r="17">
      <c r="A17" s="5" t="inlineStr">
        <is>
          <t>- Internal (service-to-service)</t>
        </is>
      </c>
      <c r="B17" s="6">
        <f>COUNTIF('API Endpoints'!H4:H399,"Internal")</f>
        <v/>
      </c>
      <c r="C17" s="7" t="inlineStr">
        <is>
          <t>/internal/** paths</t>
        </is>
      </c>
    </row>
    <row r="18">
      <c r="A18" s="5" t="inlineStr">
        <is>
          <t>Inter-service call paths</t>
        </is>
      </c>
      <c r="B18" s="6">
        <f>COUNTA('Inter-Service Calls'!A5:A200)</f>
        <v/>
      </c>
      <c r="C18" s="7" t="inlineStr">
        <is>
          <t>Distinct client -&gt; endpoint usages</t>
        </is>
      </c>
    </row>
    <row r="19">
      <c r="A19" s="5" t="inlineStr">
        <is>
          <t>Scheduled jobs</t>
        </is>
      </c>
      <c r="B19" s="6">
        <f>COUNTIFS('Service Methods'!F5:F600,"&lt;&gt;-",'Service Methods'!F5:F600,"&lt;&gt;")</f>
        <v/>
      </c>
      <c r="C19" s="7" t="inlineStr">
        <is>
          <t>@Scheduled methods (Service Methods sheet)</t>
        </is>
      </c>
    </row>
    <row r="20">
      <c r="A20" s="5" t="inlineStr">
        <is>
          <t>Frontend routes</t>
        </is>
      </c>
      <c r="B20" s="6">
        <f>COUNTA('Frontend Pages'!A5:A200)</f>
        <v/>
      </c>
      <c r="C20" s="7" t="inlineStr">
        <is>
          <t>Angular routes</t>
        </is>
      </c>
    </row>
    <row r="21">
      <c r="A21" s="5" t="inlineStr">
        <is>
          <t>User journeys</t>
        </is>
      </c>
      <c r="B21" s="6">
        <f>COUNTA(A25:A42)</f>
        <v/>
      </c>
      <c r="C21" s="7" t="inlineStr">
        <is>
          <t>Detailed in UJ-xx sheets</t>
        </is>
      </c>
    </row>
    <row r="23">
      <c r="A23" s="3" t="inlineStr">
        <is>
          <t>3. User journey index (click to open)</t>
        </is>
      </c>
    </row>
    <row r="24">
      <c r="A24" s="8" t="inlineStr">
        <is>
          <t>Journey ID</t>
        </is>
      </c>
      <c r="B24" s="8" t="inlineStr">
        <is>
          <t>Journey</t>
        </is>
      </c>
      <c r="C24" s="8" t="inlineStr">
        <is>
          <t>Primary actor(s)</t>
        </is>
      </c>
      <c r="D24" s="8" t="inlineStr">
        <is>
          <t>Services involved</t>
        </is>
      </c>
      <c r="E24" s="8" t="inlineStr">
        <is>
          <t>Steps</t>
        </is>
      </c>
      <c r="F24" s="8" t="inlineStr">
        <is>
          <t>Goal</t>
        </is>
      </c>
    </row>
    <row r="25" ht="25" customHeight="1" s="20">
      <c r="A25" s="9" t="inlineStr">
        <is>
          <t>UJ-01</t>
        </is>
      </c>
      <c r="B25" s="23" t="inlineStr">
        <is>
          <t>Customer Registration, Login &amp; Logout</t>
        </is>
      </c>
      <c r="C25" s="23" t="inlineStr">
        <is>
          <t>Customer (guest)</t>
        </is>
      </c>
      <c r="D25" s="23" t="inlineStr">
        <is>
          <t>Angular SPA, API Gateway, Auth-Svc</t>
        </is>
      </c>
      <c r="E25" s="23">
        <f>COUNTA('UJ-01'!A13:A60)</f>
        <v/>
      </c>
      <c r="F25" s="23" t="inlineStr">
        <is>
          <t>Create an account, sign in, keep the session alive and sign out.</t>
        </is>
      </c>
    </row>
    <row r="26" ht="25" customHeight="1" s="20">
      <c r="A26" s="9" t="inlineStr">
        <is>
          <t>UJ-02</t>
        </is>
      </c>
      <c r="B26" s="23" t="inlineStr">
        <is>
          <t>Browse Product Catalogue (public)</t>
        </is>
      </c>
      <c r="C26" s="23" t="inlineStr">
        <is>
          <t>Guest / Customer</t>
        </is>
      </c>
      <c r="D26" s="23" t="inlineStr">
        <is>
          <t>Angular SPA, API Gateway (public paths), Product-Svc</t>
        </is>
      </c>
      <c r="E26" s="23">
        <f>COUNTA('UJ-02'!A13:A60)</f>
        <v/>
      </c>
      <c r="F26" s="23" t="inlineStr">
        <is>
          <t>Discover available parametric insurance products and their trigger rules.</t>
        </is>
      </c>
    </row>
    <row r="27" ht="25" customHeight="1" s="20">
      <c r="A27" s="9" t="inlineStr">
        <is>
          <t>UJ-03</t>
        </is>
      </c>
      <c r="B27" s="23" t="inlineStr">
        <is>
          <t>Customer Profile Management</t>
        </is>
      </c>
      <c r="C27" s="23" t="inlineStr">
        <is>
          <t>Customer</t>
        </is>
      </c>
      <c r="D27" s="23" t="inlineStr">
        <is>
          <t>Angular SPA, Gateway, Auth-Svc</t>
        </is>
      </c>
      <c r="E27" s="23">
        <f>COUNTA('UJ-03'!A13:A60)</f>
        <v/>
      </c>
      <c r="F27" s="23" t="inlineStr">
        <is>
          <t>Maintain personal details used on policies and claims.</t>
        </is>
      </c>
    </row>
    <row r="28" ht="25" customHeight="1" s="20">
      <c r="A28" s="9" t="inlineStr">
        <is>
          <t>UJ-04</t>
        </is>
      </c>
      <c r="B28" s="23" t="inlineStr">
        <is>
          <t>Get a Quote and Accept It</t>
        </is>
      </c>
      <c r="C28" s="23" t="inlineStr">
        <is>
          <t>Customer</t>
        </is>
      </c>
      <c r="D28" s="23" t="inlineStr">
        <is>
          <t>Angular SPA, Gateway, Financial-Svc, Product-Svc, Trigger-Svc, Notification-Svc</t>
        </is>
      </c>
      <c r="E28" s="23">
        <f>COUNTA('UJ-04'!A13:A60)</f>
        <v/>
      </c>
      <c r="F28" s="23" t="inlineStr">
        <is>
          <t>Obtain a priced, time-limited quote for a product, zone, sum insured and term.</t>
        </is>
      </c>
    </row>
    <row r="29" ht="25" customHeight="1" s="20">
      <c r="A29" s="9" t="inlineStr">
        <is>
          <t>UJ-05</t>
        </is>
      </c>
      <c r="B29" s="23" t="inlineStr">
        <is>
          <t>Apply for a Policy (standard product)</t>
        </is>
      </c>
      <c r="C29" s="23" t="inlineStr">
        <is>
          <t>Customer</t>
        </is>
      </c>
      <c r="D29" s="23" t="inlineStr">
        <is>
          <t>Angular SPA, Gateway, Product-Svc, Financial-Svc, Trigger-Svc, Notification-Svc</t>
        </is>
      </c>
      <c r="E29" s="23">
        <f>COUNTA('UJ-05'!A13:A60)</f>
        <v/>
      </c>
      <c r="F29" s="23" t="inlineStr">
        <is>
          <t>Submit a policy application on a catalogue product, with or without an accepted quote.</t>
        </is>
      </c>
    </row>
    <row r="30" ht="25" customHeight="1" s="20">
      <c r="A30" s="9" t="inlineStr">
        <is>
          <t>UJ-06</t>
        </is>
      </c>
      <c r="B30" s="23" t="inlineStr">
        <is>
          <t>Custom (Customer-Defined) Parametric Policy</t>
        </is>
      </c>
      <c r="C30" s="23" t="inlineStr">
        <is>
          <t>Customer</t>
        </is>
      </c>
      <c r="D30" s="23" t="inlineStr">
        <is>
          <t>Angular SPA, Gateway, Product-Svc, Trigger-Svc, Financial-Svc, Notification-Svc</t>
        </is>
      </c>
      <c r="E30" s="23">
        <f>COUNTA('UJ-06'!A13:A60)</f>
        <v/>
      </c>
      <c r="F30" s="23" t="inlineStr">
        <is>
          <t>Design an own trigger (peril, measurement, threshold, window) and apply for cover on it.</t>
        </is>
      </c>
    </row>
    <row r="31" ht="25" customHeight="1" s="20">
      <c r="A31" s="9" t="inlineStr">
        <is>
          <t>UJ-07</t>
        </is>
      </c>
      <c r="B31" s="23" t="inlineStr">
        <is>
          <t>Underwriting Review (Approve / Reject Policy)</t>
        </is>
      </c>
      <c r="C31" s="23" t="inlineStr">
        <is>
          <t>Underwriter (or Admin)</t>
        </is>
      </c>
      <c r="D31" s="23" t="inlineStr">
        <is>
          <t>Angular SPA, Gateway, Product-Svc, Trigger-Svc, Notification-Svc</t>
        </is>
      </c>
      <c r="E31" s="23">
        <f>COUNTA('UJ-07'!A13:A60)</f>
        <v/>
      </c>
      <c r="F31" s="23" t="inlineStr">
        <is>
          <t>Decide on pending policy applications.</t>
        </is>
      </c>
    </row>
    <row r="32" ht="25" customHeight="1" s="20">
      <c r="A32" s="9" t="inlineStr">
        <is>
          <t>UJ-08</t>
        </is>
      </c>
      <c r="B32" s="23" t="inlineStr">
        <is>
          <t>Premium Payment (simulated checkout)</t>
        </is>
      </c>
      <c r="C32" s="23" t="inlineStr">
        <is>
          <t>Customer, Admin</t>
        </is>
      </c>
      <c r="D32" s="23" t="inlineStr">
        <is>
          <t>Angular SPA, Gateway, Financial-Svc, Product-Svc, Notification-Svc</t>
        </is>
      </c>
      <c r="E32" s="23">
        <f>COUNTA('UJ-08'!A13:A60)</f>
        <v/>
      </c>
      <c r="F32" s="23" t="inlineStr">
        <is>
          <t>Pay the premium for a policy and confirm the payment.</t>
        </is>
      </c>
    </row>
    <row r="33" ht="25" customHeight="1" s="20">
      <c r="A33" s="9" t="inlineStr">
        <is>
          <t>UJ-09</t>
        </is>
      </c>
      <c r="B33" s="23" t="inlineStr">
        <is>
          <t>Policy Servicing (view, certificate, renew, auto-renew, cancel)</t>
        </is>
      </c>
      <c r="C33" s="23" t="inlineStr">
        <is>
          <t>Customer</t>
        </is>
      </c>
      <c r="D33" s="23" t="inlineStr">
        <is>
          <t>Angular SPA, Gateway, Product-Svc, Trigger-Svc, Financial-Svc, Notification-Svc</t>
        </is>
      </c>
      <c r="E33" s="23">
        <f>COUNTA('UJ-09'!A13:A60)</f>
        <v/>
      </c>
      <c r="F33" s="23" t="inlineStr">
        <is>
          <t>Manage an existing policy over its life.</t>
        </is>
      </c>
    </row>
    <row r="34" ht="25" customHeight="1" s="20">
      <c r="A34" s="9" t="inlineStr">
        <is>
          <t>UJ-10</t>
        </is>
      </c>
      <c r="B34" s="23" t="inlineStr">
        <is>
          <t>Admin Product Setup &amp; Trigger Threshold Management</t>
        </is>
      </c>
      <c r="C34" s="23" t="inlineStr">
        <is>
          <t>Admin</t>
        </is>
      </c>
      <c r="D34" s="23" t="inlineStr">
        <is>
          <t>Angular SPA, Gateway, Product-Svc, Trigger-Svc, Financial-Svc, Notification-Svc</t>
        </is>
      </c>
      <c r="E34" s="23">
        <f>COUNTA('UJ-10'!A13:A60)</f>
        <v/>
      </c>
      <c r="F34" s="23" t="inlineStr">
        <is>
          <t>Create, configure, activate and tune parametric products.</t>
        </is>
      </c>
    </row>
    <row r="35" ht="25" customHeight="1" s="20">
      <c r="A35" s="9" t="inlineStr">
        <is>
          <t>UJ-11</t>
        </is>
      </c>
      <c r="B35" s="23" t="inlineStr">
        <is>
          <t>Admin Reference Data: Zones, Perils, Pricing Rules</t>
        </is>
      </c>
      <c r="C35" s="23" t="inlineStr">
        <is>
          <t>Admin</t>
        </is>
      </c>
      <c r="D35" s="23" t="inlineStr">
        <is>
          <t>Angular SPA, Gateway, Trigger-Svc, Financial-Svc, Product-Svc, Notification-Svc</t>
        </is>
      </c>
      <c r="E35" s="23">
        <f>COUNTA('UJ-11'!A13:A60)</f>
        <v/>
      </c>
      <c r="F35" s="23" t="inlineStr">
        <is>
          <t>Maintain the geographic zones, peril catalogue and pricing rules used by products, quotes and triggers.</t>
        </is>
      </c>
    </row>
    <row r="36" ht="37.5" customHeight="1" s="20">
      <c r="A36" s="9" t="inlineStr">
        <is>
          <t>UJ-12</t>
        </is>
      </c>
      <c r="B36" s="23" t="inlineStr">
        <is>
          <t>Automatic Parametric Claim via Measurement Console (primary flow)</t>
        </is>
      </c>
      <c r="C36" s="23" t="inlineStr">
        <is>
          <t>Admin (measurement operator), System, Customer</t>
        </is>
      </c>
      <c r="D36" s="23" t="inlineStr">
        <is>
          <t>Angular SPA, Gateway, Trigger-Svc, Product-Svc, Claims-Svc, Notification-Svc</t>
        </is>
      </c>
      <c r="E36" s="23">
        <f>COUNTA('UJ-12'!A13:A60)</f>
        <v/>
      </c>
      <c r="F36" s="23" t="inlineStr">
        <is>
          <t>Record a live measurement; if it breaches any active policy's captured trigger, create a trigger event and automatic claims for every matching policy.</t>
        </is>
      </c>
    </row>
    <row r="37" ht="25" customHeight="1" s="20">
      <c r="A37" s="9" t="inlineStr">
        <is>
          <t>UJ-13</t>
        </is>
      </c>
      <c r="B37" s="23" t="inlineStr">
        <is>
          <t>Customer Manual Claim (exception) with Evidence</t>
        </is>
      </c>
      <c r="C37" s="23" t="inlineStr">
        <is>
          <t>Customer</t>
        </is>
      </c>
      <c r="D37" s="23" t="inlineStr">
        <is>
          <t>Angular SPA, Gateway, Claims-Svc, Product-Svc, Trigger-Svc, Notification-Svc</t>
        </is>
      </c>
      <c r="E37" s="23">
        <f>COUNTA('UJ-13'!A13:A60)</f>
        <v/>
      </c>
      <c r="F37" s="23" t="inlineStr">
        <is>
          <t>Claim when a loss occurred but no automatic claim was created.</t>
        </is>
      </c>
    </row>
    <row r="38" ht="25" customHeight="1" s="20">
      <c r="A38" s="9" t="inlineStr">
        <is>
          <t>UJ-14</t>
        </is>
      </c>
      <c r="B38" s="23" t="inlineStr">
        <is>
          <t>Claims Officer Review (start, approve -&gt; payout, reject, settle)</t>
        </is>
      </c>
      <c r="C38" s="23" t="inlineStr">
        <is>
          <t>Claims Officer (or Admin)</t>
        </is>
      </c>
      <c r="D38" s="23" t="inlineStr">
        <is>
          <t>Angular SPA, Gateway, Claims-Svc, Financial-Svc, Notification-Svc</t>
        </is>
      </c>
      <c r="E38" s="23">
        <f>COUNTA('UJ-14'!A13:A60)</f>
        <v/>
      </c>
      <c r="F38" s="23" t="inlineStr">
        <is>
          <t>Adjudicate submitted claims and trigger payout.</t>
        </is>
      </c>
    </row>
    <row r="39" ht="25" customHeight="1" s="20">
      <c r="A39" s="9" t="inlineStr">
        <is>
          <t>UJ-15</t>
        </is>
      </c>
      <c r="B39" s="23" t="inlineStr">
        <is>
          <t>Payout Disbursement &amp; Receipt</t>
        </is>
      </c>
      <c r="C39" s="23" t="inlineStr">
        <is>
          <t>Admin, Customer</t>
        </is>
      </c>
      <c r="D39" s="23" t="inlineStr">
        <is>
          <t>Angular SPA, Gateway, Financial-Svc, Trigger-Svc, Product-Svc, Notification-Svc</t>
        </is>
      </c>
      <c r="E39" s="23">
        <f>COUNTA('UJ-15'!A13:A60)</f>
        <v/>
      </c>
      <c r="F39" s="23" t="inlineStr">
        <is>
          <t>Pay approved claim amounts to customers and provide receipts.</t>
        </is>
      </c>
    </row>
    <row r="40" ht="25" customHeight="1" s="20">
      <c r="A40" s="9" t="inlineStr">
        <is>
          <t>UJ-16</t>
        </is>
      </c>
      <c r="B40" s="23" t="inlineStr">
        <is>
          <t>In-app Notifications &amp; Real-time Push</t>
        </is>
      </c>
      <c r="C40" s="23" t="inlineStr">
        <is>
          <t>All roles</t>
        </is>
      </c>
      <c r="D40" s="23" t="inlineStr">
        <is>
          <t>Angular SPA, Gateway, Notification-Svc</t>
        </is>
      </c>
      <c r="E40" s="23">
        <f>COUNTA('UJ-16'!A13:A60)</f>
        <v/>
      </c>
      <c r="F40" s="23" t="inlineStr">
        <is>
          <t>Receive and manage in-app notifications (no email or SMS).</t>
        </is>
      </c>
    </row>
    <row r="41" ht="25" customHeight="1" s="20">
      <c r="A41" s="9" t="inlineStr">
        <is>
          <t>UJ-17</t>
        </is>
      </c>
      <c r="B41" s="23" t="inlineStr">
        <is>
          <t>Admin User Management &amp; Dashboards</t>
        </is>
      </c>
      <c r="C41" s="23" t="inlineStr">
        <is>
          <t>Admin</t>
        </is>
      </c>
      <c r="D41" s="23" t="inlineStr">
        <is>
          <t>Angular SPA, Gateway, Auth-Svc, Product-Svc, Financial-Svc</t>
        </is>
      </c>
      <c r="E41" s="23">
        <f>COUNTA('UJ-17'!A13:A60)</f>
        <v/>
      </c>
      <c r="F41" s="23" t="inlineStr">
        <is>
          <t>Oversee users and platform KPIs.</t>
        </is>
      </c>
    </row>
    <row r="42">
      <c r="A42" s="9" t="inlineStr">
        <is>
          <t>UJ-18</t>
        </is>
      </c>
      <c r="B42" s="23" t="inlineStr">
        <is>
          <t>Background System Jobs (no user)</t>
        </is>
      </c>
      <c r="C42" s="23" t="inlineStr">
        <is>
          <t>System schedulers</t>
        </is>
      </c>
      <c r="D42" s="23" t="inlineStr">
        <is>
          <t>Product-Svc, Financial-Svc, Trigger-Svc, Notification-Svc</t>
        </is>
      </c>
      <c r="E42" s="23">
        <f>COUNTA('UJ-18'!A13:A60)</f>
        <v/>
      </c>
      <c r="F42" s="23" t="inlineStr">
        <is>
          <t>Keep policies, payments, payouts, pricing and triggers consistent without manual action.</t>
        </is>
      </c>
    </row>
    <row r="43" ht="2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</row>
    <row r="44" ht="2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</row>
    <row r="46">
      <c r="A46" s="3" t="inlineStr">
        <is>
          <t>4. Sheet guide</t>
        </is>
      </c>
    </row>
    <row r="47">
      <c r="A47" s="11" t="inlineStr">
        <is>
          <t>Microservices</t>
        </is>
      </c>
      <c r="B47" s="19" t="inlineStr">
        <is>
          <t>One row per service: port, Eureka id, DB, tables, enums, components, dependencies, endpoint counts.</t>
        </is>
      </c>
    </row>
    <row r="48">
      <c r="A48" s="11" t="inlineStr">
        <is>
          <t>API Endpoints</t>
        </is>
      </c>
      <c r="B48" s="19" t="inlineStr">
        <is>
          <t>Every endpoint (143): method, path, access, roles, handler -&gt; service method, business description, downstream calls, which Angular service/page calls it.</t>
        </is>
      </c>
    </row>
    <row r="49">
      <c r="A49" s="11" t="inlineStr">
        <is>
          <t>Service Methods</t>
        </is>
      </c>
      <c r="B49" s="19" t="inlineStr">
        <is>
          <t>Public methods of every handler / service / client / scheduler class (signatures).</t>
        </is>
      </c>
    </row>
    <row r="50">
      <c r="A50" s="11" t="inlineStr">
        <is>
          <t>Inter-Service Calls</t>
        </is>
      </c>
      <c r="B50" s="19" t="inlineStr">
        <is>
          <t>Every synchronous service-to-service REST call: caller class/method, target endpoint and handler, purpose, failure handling.</t>
        </is>
      </c>
    </row>
    <row r="51">
      <c r="A51" s="11" t="inlineStr">
        <is>
          <t>Data Model</t>
        </is>
      </c>
      <c r="B51" s="19" t="inlineStr">
        <is>
          <t>Tables per service and status/enum values.</t>
        </is>
      </c>
    </row>
    <row r="52">
      <c r="A52" s="11" t="inlineStr">
        <is>
          <t>Status Lifecycles</t>
        </is>
      </c>
      <c r="B52" s="19" t="inlineStr">
        <is>
          <t>State machines for policy, quote, payment, payout, claim, trigger event, zone / peril, user.</t>
        </is>
      </c>
    </row>
    <row r="53">
      <c r="A53" s="11" t="inlineStr">
        <is>
          <t>Frontend Pages</t>
        </is>
      </c>
      <c r="B53" s="19" t="inlineStr">
        <is>
          <t>Every Angular route: layout, role, component, NgRx actions, Angular service methods, backend endpoints.</t>
        </is>
      </c>
    </row>
    <row r="54">
      <c r="A54" s="11" t="inlineStr">
        <is>
          <t>UJ-01 ... UJ-18</t>
        </is>
      </c>
      <c r="B54" s="19" t="inlineStr">
        <is>
          <t>Step-by-step journey maps: actor, screen, action, frontend call, HTTP + endpoint, target service, handler &amp; service method, rules, inter-service hops, DB, status transition, notifications, result.</t>
        </is>
      </c>
    </row>
    <row r="55">
      <c r="A55" s="33" t="n"/>
      <c r="B55" s="33" t="n"/>
      <c r="G55" s="33" t="n"/>
      <c r="H55" s="33" t="n"/>
    </row>
    <row r="56">
      <c r="A56" s="33" t="n"/>
      <c r="B56" s="33" t="n"/>
      <c r="G56" s="33" t="n"/>
      <c r="H56" s="33" t="n"/>
    </row>
    <row r="57">
      <c r="A57" s="33" t="n"/>
      <c r="B57" s="33" t="n"/>
      <c r="G57" s="33" t="n"/>
      <c r="H57" s="33" t="n"/>
    </row>
  </sheetData>
  <mergeCells count="18">
    <mergeCell ref="B53:F53"/>
    <mergeCell ref="B8:H8"/>
    <mergeCell ref="B55:F55"/>
    <mergeCell ref="B47:F47"/>
    <mergeCell ref="B48:F48"/>
    <mergeCell ref="B9:H9"/>
    <mergeCell ref="B54:F54"/>
    <mergeCell ref="B4:H4"/>
    <mergeCell ref="B49:F49"/>
    <mergeCell ref="B51:F51"/>
    <mergeCell ref="B6:H6"/>
    <mergeCell ref="B10:H10"/>
    <mergeCell ref="B7:H7"/>
    <mergeCell ref="B50:F50"/>
    <mergeCell ref="B5:H5"/>
    <mergeCell ref="B56:F56"/>
    <mergeCell ref="B57:F57"/>
    <mergeCell ref="B52:F52"/>
  </mergeCells>
  <hyperlinks>
    <hyperlink ref="A25" location="'UJ-01'!A1"/>
    <hyperlink ref="A26" location="'UJ-02'!A1"/>
    <hyperlink ref="A27" location="'UJ-03'!A1"/>
    <hyperlink ref="A28" location="'UJ-04'!A1"/>
    <hyperlink ref="A29" location="'UJ-05'!A1"/>
    <hyperlink ref="A30" location="'UJ-06'!A1"/>
    <hyperlink ref="A31" location="'UJ-07'!A1"/>
    <hyperlink ref="A32" location="'UJ-08'!A1"/>
    <hyperlink ref="A33" location="'UJ-09'!A1"/>
    <hyperlink ref="A34" location="'UJ-10'!A1"/>
    <hyperlink ref="A35" location="'UJ-11'!A1"/>
    <hyperlink ref="A36" location="'UJ-12'!A1"/>
    <hyperlink ref="A37" location="'UJ-13'!A1"/>
    <hyperlink ref="A38" location="'UJ-14'!A1"/>
    <hyperlink ref="A39" location="'UJ-15'!A1"/>
    <hyperlink ref="A40" location="'UJ-16'!A1"/>
    <hyperlink ref="A41" location="'UJ-17'!A1"/>
    <hyperlink ref="A42" location="'UJ-18'!A1"/>
    <hyperlink ref="A47" location="'Microservices'!A1"/>
    <hyperlink ref="A48" location="'API Endpoints'!A1"/>
    <hyperlink ref="A49" location="'Service Methods'!A1"/>
    <hyperlink ref="A50" location="'Inter-Service Calls'!A1"/>
    <hyperlink ref="A51" location="'Data Model'!A1"/>
    <hyperlink ref="A52" location="'Status Lifecycles'!A1"/>
    <hyperlink ref="A53" location="'Frontend Pages'!A1"/>
    <hyperlink ref="A54" location="'UJ-01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R12"/>
  <sheetViews>
    <sheetView showGridLines="0" zoomScale="82" workbookViewId="0">
      <pane xSplit="1" ySplit="3" topLeftCell="B11" activePane="bottomRight" state="frozen"/>
      <selection pane="topRight" activeCell="A1" sqref="A1"/>
      <selection pane="bottomLeft" activeCell="A1" sqref="A1"/>
      <selection pane="bottomRight" activeCell="C7" sqref="C7"/>
    </sheetView>
  </sheetViews>
  <sheetFormatPr baseColWidth="8" defaultRowHeight="14.5"/>
  <cols>
    <col width="22" customWidth="1" style="20" min="1" max="1"/>
    <col width="20" customWidth="1" style="20" min="2" max="2"/>
    <col width="7" customWidth="1" style="20" min="3" max="3"/>
    <col width="60" customWidth="1" style="20" min="4" max="4"/>
    <col width="34" customWidth="1" style="20" min="5" max="5"/>
    <col width="30" customWidth="1" style="20" min="6" max="6"/>
    <col width="45" customWidth="1" style="20" min="7" max="7"/>
    <col width="70" customWidth="1" style="20" min="8" max="8"/>
    <col width="36" customWidth="1" style="20" min="9" max="9"/>
    <col width="40" customWidth="1" style="20" min="10" max="10"/>
    <col width="55" customWidth="1" style="20" min="11" max="11"/>
    <col width="30" customWidth="1" style="20" min="12" max="14"/>
    <col width="11" customWidth="1" style="20" min="15" max="15"/>
    <col width="9" customWidth="1" style="20" min="16" max="18"/>
  </cols>
  <sheetData>
    <row r="1" ht="20" customHeight="1" s="20">
      <c r="A1" s="1" t="inlineStr">
        <is>
          <t>Microservices Catalogue</t>
        </is>
      </c>
    </row>
    <row r="3" ht="26" customHeight="1" s="20">
      <c r="A3" s="8" t="inlineStr">
        <is>
          <t>Service</t>
        </is>
      </c>
      <c r="B3" s="8" t="inlineStr">
        <is>
          <t>Eureka name</t>
        </is>
      </c>
      <c r="C3" s="8" t="inlineStr">
        <is>
          <t>Port</t>
        </is>
      </c>
      <c r="D3" s="8" t="inlineStr">
        <is>
          <t>Responsibility</t>
        </is>
      </c>
      <c r="E3" s="8" t="inlineStr">
        <is>
          <t>Gateway routes</t>
        </is>
      </c>
      <c r="F3" s="8" t="inlineStr">
        <is>
          <t>Database</t>
        </is>
      </c>
      <c r="G3" s="8" t="inlineStr">
        <is>
          <t>Tables</t>
        </is>
      </c>
      <c r="H3" s="8" t="inlineStr">
        <is>
          <t>Enums / status values</t>
        </is>
      </c>
      <c r="I3" s="8" t="inlineStr">
        <is>
          <t>Routers</t>
        </is>
      </c>
      <c r="J3" s="8" t="inlineStr">
        <is>
          <t>Handlers</t>
        </is>
      </c>
      <c r="K3" s="8" t="inlineStr">
        <is>
          <t>Services &amp; clients</t>
        </is>
      </c>
      <c r="L3" s="8" t="inlineStr">
        <is>
          <t>Schedulers</t>
        </is>
      </c>
      <c r="M3" s="8" t="inlineStr">
        <is>
          <t>Calls out to</t>
        </is>
      </c>
      <c r="N3" s="8" t="inlineStr">
        <is>
          <t>Called by</t>
        </is>
      </c>
      <c r="O3" s="8" t="inlineStr">
        <is>
          <t># Endpoints</t>
        </is>
      </c>
      <c r="P3" s="8" t="inlineStr">
        <is>
          <t># Public</t>
        </is>
      </c>
      <c r="Q3" s="8" t="inlineStr">
        <is>
          <t># Secured</t>
        </is>
      </c>
      <c r="R3" s="8" t="inlineStr">
        <is>
          <t># Internal</t>
        </is>
      </c>
    </row>
    <row r="4" ht="25" customHeight="1" s="20">
      <c r="A4" s="23" t="inlineStr">
        <is>
          <t>Eureka Server</t>
        </is>
      </c>
      <c r="B4" s="23" t="inlineStr">
        <is>
          <t>EUREKA-SERVER</t>
        </is>
      </c>
      <c r="C4" s="23" t="n">
        <v>8761</v>
      </c>
      <c r="D4" s="23" t="inlineStr">
        <is>
          <t>Service discovery registry. Every service registers here; the gateway and inter-service WebClients resolve lb://&lt;NAME&gt; through it.</t>
        </is>
      </c>
      <c r="E4" s="23" t="inlineStr">
        <is>
          <t>/eureka actuator via /eureka/actuator</t>
        </is>
      </c>
      <c r="F4" s="23" t="inlineStr">
        <is>
          <t>None</t>
        </is>
      </c>
      <c r="G4" s="23" t="inlineStr">
        <is>
          <t>-</t>
        </is>
      </c>
      <c r="H4" s="23" t="inlineStr">
        <is>
          <t>-</t>
        </is>
      </c>
      <c r="I4" s="23" t="inlineStr">
        <is>
          <t>-</t>
        </is>
      </c>
      <c r="J4" s="23" t="inlineStr">
        <is>
          <t>-</t>
        </is>
      </c>
      <c r="K4" s="23" t="inlineStr">
        <is>
          <t>-</t>
        </is>
      </c>
      <c r="L4" s="23" t="inlineStr">
        <is>
          <t>-</t>
        </is>
      </c>
      <c r="M4" s="23" t="inlineStr">
        <is>
          <t>-</t>
        </is>
      </c>
      <c r="N4" s="23" t="inlineStr">
        <is>
          <t>All services (registration / lookup)</t>
        </is>
      </c>
      <c r="O4" s="23">
        <f>COUNTIFS('API Endpoints'!B$4:B$399,A4)</f>
        <v/>
      </c>
      <c r="P4" s="23">
        <f>COUNTIFS('API Endpoints'!B$4:B$399,A4,'API Endpoints'!H$4:H$399,"Public")</f>
        <v/>
      </c>
      <c r="Q4" s="23">
        <f>COUNTIFS('API Endpoints'!B$4:B$399,A4,'API Endpoints'!H$4:H$399,"Secured")</f>
        <v/>
      </c>
      <c r="R4" s="23">
        <f>COUNTIFS('API Endpoints'!B$4:B$399,A4,'API Endpoints'!H$4:H$399,"Internal")</f>
        <v/>
      </c>
    </row>
    <row r="5" ht="62.5" customHeight="1" s="20">
      <c r="A5" s="12" t="inlineStr">
        <is>
          <t>API Gateway</t>
        </is>
      </c>
      <c r="B5" s="12" t="inlineStr">
        <is>
          <t>API-GATEWAY</t>
        </is>
      </c>
      <c r="C5" s="12" t="n">
        <v>8080</v>
      </c>
      <c r="D5" s="12" t="inlineStr">
        <is>
          <t>Single entry point for the Angular SPA. Routes /api/** to services via Eureka load balancing, validates JWTs (GatewayJwtFilter), strips spoofable identity headers and injects X-Gateway-Key + X-Authenticated-User-Id/User/Role/Customer-Id. Proxies each service's actuator under /&lt;svc&gt;/actuator.</t>
        </is>
      </c>
      <c r="E5" s="12" t="inlineStr">
        <is>
          <t>(edge) /&lt;svc&gt;/actuator/**</t>
        </is>
      </c>
      <c r="F5" s="12" t="inlineStr">
        <is>
          <t>None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-</t>
        </is>
      </c>
      <c r="K5" s="12" t="inlineStr">
        <is>
          <t>-</t>
        </is>
      </c>
      <c r="L5" s="12" t="inlineStr">
        <is>
          <t>-</t>
        </is>
      </c>
      <c r="M5" s="12" t="inlineStr">
        <is>
          <t>All services (routing)</t>
        </is>
      </c>
      <c r="N5" s="12" t="inlineStr">
        <is>
          <t>Angular SPA</t>
        </is>
      </c>
      <c r="O5" s="12">
        <f>COUNTIFS('API Endpoints'!B$4:B$399,A5)</f>
        <v/>
      </c>
      <c r="P5" s="12">
        <f>COUNTIFS('API Endpoints'!B$4:B$399,A5,'API Endpoints'!H$4:H$399,"Public")</f>
        <v/>
      </c>
      <c r="Q5" s="12">
        <f>COUNTIFS('API Endpoints'!B$4:B$399,A5,'API Endpoints'!H$4:H$399,"Secured")</f>
        <v/>
      </c>
      <c r="R5" s="12">
        <f>COUNTIFS('API Endpoints'!B$4:B$399,A5,'API Endpoints'!H$4:H$399,"Internal")</f>
        <v/>
      </c>
    </row>
    <row r="6" ht="37.5" customHeight="1" s="20">
      <c r="A6" s="23" t="inlineStr">
        <is>
          <t>Auth Service</t>
        </is>
      </c>
      <c r="B6" s="23" t="inlineStr">
        <is>
          <t>AUTH-SERVICE</t>
        </is>
      </c>
      <c r="C6" s="23" t="n">
        <v>8081</v>
      </c>
      <c r="D6" s="23" t="inlineStr">
        <is>
          <t>Identity &amp; access: registration, login, JWT access/refresh tokens, sessions, customer and staff profiles, and admin user management. Seeds staff accounts (StaffDataLoader).</t>
        </is>
      </c>
      <c r="E6" s="23" t="inlineStr">
        <is>
          <t>/api/auth/**, /api/users/**</t>
        </is>
      </c>
      <c r="F6" s="23" t="inlineStr">
        <is>
          <t>H2 file (R2DBC) - ~/.climatesure/data (AuthDatabaseConfig)</t>
        </is>
      </c>
      <c r="G6" s="23" t="inlineStr">
        <is>
          <t>addresses, refresh_tokens, sessions, user_profiles, users_credentials</t>
        </is>
      </c>
      <c r="H6" s="23" t="inlineStr">
        <is>
          <t>CustomerSegment: INDIVIDUAL, FARMER, SMALL_BUSINESS, ENTERPRISE; UserStatus: ACTIVE, SUSPENDED, INACTIVE</t>
        </is>
      </c>
      <c r="I6" s="23" t="inlineStr">
        <is>
          <t>AuthRouter, UserRouter</t>
        </is>
      </c>
      <c r="J6" s="23" t="inlineStr">
        <is>
          <t>AuthHandler, UserHandler</t>
        </is>
      </c>
      <c r="K6" s="23" t="inlineStr">
        <is>
          <t>AuthService, UserProfileService</t>
        </is>
      </c>
      <c r="L6" s="23" t="inlineStr">
        <is>
          <t>-</t>
        </is>
      </c>
      <c r="M6" s="23" t="inlineStr">
        <is>
          <t>-</t>
        </is>
      </c>
      <c r="N6" s="23" t="inlineStr">
        <is>
          <t>Gateway</t>
        </is>
      </c>
      <c r="O6" s="23">
        <f>COUNTIFS('API Endpoints'!B$4:B$399,A6)</f>
        <v/>
      </c>
      <c r="P6" s="23">
        <f>COUNTIFS('API Endpoints'!B$4:B$399,A6,'API Endpoints'!H$4:H$399,"Public")</f>
        <v/>
      </c>
      <c r="Q6" s="23">
        <f>COUNTIFS('API Endpoints'!B$4:B$399,A6,'API Endpoints'!H$4:H$399,"Secured")</f>
        <v/>
      </c>
      <c r="R6" s="23">
        <f>COUNTIFS('API Endpoints'!B$4:B$399,A6,'API Endpoints'!H$4:H$399,"Internal")</f>
        <v/>
      </c>
    </row>
    <row r="7" ht="137.5" customHeight="1" s="20">
      <c r="A7" s="12" t="inlineStr">
        <is>
          <t>Product &amp; Policy Service</t>
        </is>
      </c>
      <c r="B7" s="12" t="inlineStr">
        <is>
          <t>PRODUCT-SERVICE</t>
        </is>
      </c>
      <c r="C7" s="12" t="n">
        <v>8082</v>
      </c>
      <c r="D7" s="12" t="inlineStr">
        <is>
          <t>Insurance product catalogue with parametric trigger configuration, policy applications, underwriting decisions, trigger snapshots, certificates, renewals/expiry and zone exposure.</t>
        </is>
      </c>
      <c r="E7" s="12" t="inlineStr">
        <is>
          <t>/api/products/**, /api/policies/**</t>
        </is>
      </c>
      <c r="F7" s="12" t="inlineStr">
        <is>
          <t>H2 file (R2DBC) - productdb</t>
        </is>
      </c>
      <c r="G7" s="12" t="inlineStr">
        <is>
          <t>coverages, policies, policy_status_history, policy_trigger_snapshots, product_threshold_history, products</t>
        </is>
      </c>
      <c r="H7" s="12" t="inlineStr">
        <is>
          <t>AggregationType: SUM, AVERAGE, MIN, MAX, LATEST; ComparisonOperator: GREATER_THAN, GREATER_THAN_OR_EQUAL, LESS_THAN, LESS_THAN_OR_EQUAL, EQUAL; MeasurementType: RAINFALL, WATER_LEVEL, TEMPERATURE, WIND_SPEED, HUMIDITY, SOIL_MOISTURE, OTHER; MeasurementUnit: MM, CM, METER, CELSIUS, KELVIN, KM_PER_HOUR, METERS_PER_SECOND, PERCENTAGE, OTHER; PerilType: EXCESS_RAINFALL, FLOOD, DROUGHT, EXTREME_TEMPERATURE, CYCLONE, HIGH_WIND, OTHER; PolicyStatus: PENDING, ACTIVE, REJECTED, CANCELLED, EXPIRED; ProductCategory: WEATHER, FLOOD, AGRICULTURE, BUSINESS_INTERRUPTION, TRAVEL, CYCLONE, OTHER; ProductStatus: DRAFT, ACTIVE, INACTIVE, ARCHIVED; TriggerSyncStatus: PENDING, SYNCED, FAILED</t>
        </is>
      </c>
      <c r="I7" s="12" t="inlineStr">
        <is>
          <t>InternalPolicyRouter, PolicyLifecycleRouter, PolicyRouter, ProductRouter</t>
        </is>
      </c>
      <c r="J7" s="12" t="inlineStr">
        <is>
          <t>InternalPolicyHandler, PolicyHandler, PolicyLifecycleHandler, ProductHandler</t>
        </is>
      </c>
      <c r="K7" s="12" t="inlineStr">
        <is>
          <t>FinancialServiceClient, NotificationService, NotificationServiceClient, PolicyCertificateService, PolicyService, ProductService, TriggerServiceClient, ZoneUnderwritingService</t>
        </is>
      </c>
      <c r="L7" s="12" t="inlineStr">
        <is>
          <t>PolicyExpiryScheduler.expirePolicies, PolicyRenewalScheduler.runRenewalSweep</t>
        </is>
      </c>
      <c r="M7" s="12" t="inlineStr">
        <is>
          <t>Trigger-Svc, Financial-Svc, Notification-Svc</t>
        </is>
      </c>
      <c r="N7" s="12" t="inlineStr">
        <is>
          <t>Gateway, Trigger-Svc, Financial-Svc, Claims-Svc</t>
        </is>
      </c>
      <c r="O7" s="12">
        <f>COUNTIFS('API Endpoints'!B$4:B$399,A7)</f>
        <v/>
      </c>
      <c r="P7" s="12">
        <f>COUNTIFS('API Endpoints'!B$4:B$399,A7,'API Endpoints'!H$4:H$399,"Public")</f>
        <v/>
      </c>
      <c r="Q7" s="12">
        <f>COUNTIFS('API Endpoints'!B$4:B$399,A7,'API Endpoints'!H$4:H$399,"Secured")</f>
        <v/>
      </c>
      <c r="R7" s="12">
        <f>COUNTIFS('API Endpoints'!B$4:B$399,A7,'API Endpoints'!H$4:H$399,"Internal")</f>
        <v/>
      </c>
    </row>
    <row r="8" ht="50" customHeight="1" s="20">
      <c r="A8" s="23" t="inlineStr">
        <is>
          <t>Claims Service</t>
        </is>
      </c>
      <c r="B8" s="23" t="inlineStr">
        <is>
          <t>CLAIMS-SERVICE</t>
        </is>
      </c>
      <c r="C8" s="23" t="n">
        <v>8083</v>
      </c>
      <c r="D8" s="23" t="inlineStr">
        <is>
          <t>Claims lifecycle: automatic (trigger) claims and customer manual-exception claims, evidence documents, officer review (start/approve/reject/settle), timeline; requests payouts on approval.</t>
        </is>
      </c>
      <c r="E8" s="23" t="inlineStr">
        <is>
          <t>/api/claims/**</t>
        </is>
      </c>
      <c r="F8" s="23" t="inlineStr">
        <is>
          <t>H2 file (R2DBC) - claimsdb (+ uploads dir ~/.climatesure/uploads)</t>
        </is>
      </c>
      <c r="G8" s="23" t="inlineStr">
        <is>
          <t>claim_documents, claim_timeline, claims</t>
        </is>
      </c>
      <c r="H8" s="23" t="inlineStr">
        <is>
          <t>ClaimSource: AUTO_TRIGGERED, MANUAL_EXCEPTION; ClaimStatus: SUBMITTED, UNDER_REVIEW, APPROVED, SETTLED, REJECTED, CANCELLED; TriggerDetectionStatus: DETECTED, NOT_DETECTED, UNDER_INVESTIGATION, CONFIRMED_MANUALLY, NOT_CONFIRMED</t>
        </is>
      </c>
      <c r="I8" s="23" t="inlineStr">
        <is>
          <t>ClaimDocumentRouter, ClaimRouter</t>
        </is>
      </c>
      <c r="J8" s="23" t="inlineStr">
        <is>
          <t>ClaimDocumentHandler, ClaimHandler</t>
        </is>
      </c>
      <c r="K8" s="23" t="inlineStr">
        <is>
          <t>ClaimDocumentService, ClaimService, FinancialServiceClient, NotificationService, NotificationServiceClient</t>
        </is>
      </c>
      <c r="L8" s="23" t="inlineStr">
        <is>
          <t>-</t>
        </is>
      </c>
      <c r="M8" s="23" t="inlineStr">
        <is>
          <t>Product-Svc, Financial-Svc, Notification-Svc</t>
        </is>
      </c>
      <c r="N8" s="23" t="inlineStr">
        <is>
          <t>Gateway, Trigger-Svc, Financial-Svc</t>
        </is>
      </c>
      <c r="O8" s="23">
        <f>COUNTIFS('API Endpoints'!B$4:B$399,A8)</f>
        <v/>
      </c>
      <c r="P8" s="23">
        <f>COUNTIFS('API Endpoints'!B$4:B$399,A8,'API Endpoints'!H$4:H$399,"Public")</f>
        <v/>
      </c>
      <c r="Q8" s="23">
        <f>COUNTIFS('API Endpoints'!B$4:B$399,A8,'API Endpoints'!H$4:H$399,"Secured")</f>
        <v/>
      </c>
      <c r="R8" s="23">
        <f>COUNTIFS('API Endpoints'!B$4:B$399,A8,'API Endpoints'!H$4:H$399,"Internal")</f>
        <v/>
      </c>
    </row>
    <row r="9" ht="162.5" customHeight="1" s="20">
      <c r="A9" s="12" t="inlineStr">
        <is>
          <t>Trigger Service</t>
        </is>
      </c>
      <c r="B9" s="12" t="inlineStr">
        <is>
          <t>TRIGGER-SERVICE</t>
        </is>
      </c>
      <c r="C9" s="12" t="n">
        <v>8087</v>
      </c>
      <c r="D9" s="12" t="inlineStr">
        <is>
          <t>Parametric engine: location zones (alerts, exposure caps, archive/restore), perils (archive/restore), per-zone trigger definitions synced from products, live readings (demo feed + admin readings), current measurements and verified trigger events that create automatic claims.</t>
        </is>
      </c>
      <c r="E9" s="12" t="inlineStr">
        <is>
          <t>/api/triggers/**</t>
        </is>
      </c>
      <c r="F9" s="12" t="inlineStr">
        <is>
          <t>H2 file (R2DBC) - triggerdb</t>
        </is>
      </c>
      <c r="G9" s="12" t="inlineStr">
        <is>
          <t>current_measurements, idempotency_records, location_zones, observations, perils, trigger_definitions, trigger_events</t>
        </is>
      </c>
      <c r="H9" s="12" t="inlineStr">
        <is>
          <t>AggregationType: SUM, AVERAGE, MINIMUM, MAXIMUM, LATEST; ComparisonOperator: GREATER_THAN, GREATER_THAN_OR_EQUAL, LESS_THAN, LESS_THAN_OR_EQUAL, EQUAL; LocationZoneStatus: ACTIVE, INACTIVE, ARCHIVED; MeasurementType: RAINFALL, TEMPERATURE, WIND_SPEED, HUMIDITY, RIVER_LEVEL, SOIL_MOISTURE, OTHER; MeasurementUnit: MM, CM, CELSIUS, KELVIN, KM_PER_HOUR, METERS_PER_SECOND, PERCENTAGE, METER, OTHER; ObservationSource: MOCK, MANUAL, WEATHER_API, SENSOR; ObservationStatus: RECEIVED, VALIDATED, REJECTED; PerilStatus: ACTIVE, INACTIVE, ARCHIVED; TriggerDefinitionStatus: DRAFT, ACTIVE, INACTIVE, ARCHIVED; TriggerEventStatus: DETECTED, UNDER_VALIDATION, VERIFIED, REJECTED, PROCESSED</t>
        </is>
      </c>
      <c r="I9" s="12" t="inlineStr">
        <is>
          <t>LocationZoneRouter, MeasurementRouter, PerilRouter, TriggerDefinitionRouter, TriggerEventRouter, ZoneMeasurementRouter</t>
        </is>
      </c>
      <c r="J9" s="12" t="inlineStr">
        <is>
          <t>LocationZoneHandler, MeasurementHandler, PerilHandler, TriggerDefinitionHandler, TriggerEventHandler</t>
        </is>
      </c>
      <c r="K9" s="12" t="inlineStr">
        <is>
          <t>ClaimsServiceClient, IdempotencyService, LocationZoneService, MeasurementService, PerilService, ProductTriggerClient, ProductTriggerSyncService, TriggerDefinitionService, TriggerEventService, ZoneMeasurementService</t>
        </is>
      </c>
      <c r="L9" s="12" t="inlineStr">
        <is>
          <t>DemoObservationGenerator.deleteOldReadings, DemoObservationGenerator.generateNextReading</t>
        </is>
      </c>
      <c r="M9" s="12" t="inlineStr">
        <is>
          <t>Product-Svc, Claims-Svc</t>
        </is>
      </c>
      <c r="N9" s="12" t="inlineStr">
        <is>
          <t>Gateway, Product-Svc, Financial-Svc</t>
        </is>
      </c>
      <c r="O9" s="12">
        <f>COUNTIFS('API Endpoints'!B$4:B$399,A9)</f>
        <v/>
      </c>
      <c r="P9" s="12">
        <f>COUNTIFS('API Endpoints'!B$4:B$399,A9,'API Endpoints'!H$4:H$399,"Public")</f>
        <v/>
      </c>
      <c r="Q9" s="12">
        <f>COUNTIFS('API Endpoints'!B$4:B$399,A9,'API Endpoints'!H$4:H$399,"Secured")</f>
        <v/>
      </c>
      <c r="R9" s="12">
        <f>COUNTIFS('API Endpoints'!B$4:B$399,A9,'API Endpoints'!H$4:H$399,"Internal")</f>
        <v/>
      </c>
    </row>
    <row r="10" ht="62.5" customHeight="1" s="20">
      <c r="A10" s="23" t="inlineStr">
        <is>
          <t>Financial Service</t>
        </is>
      </c>
      <c r="B10" s="23" t="inlineStr">
        <is>
          <t>FINANCIAL-SERVICE</t>
        </is>
      </c>
      <c r="C10" s="23" t="n">
        <v>8088</v>
      </c>
      <c r="D10" s="23" t="inlineStr">
        <is>
          <t>Money: pricing rules, quotes, premium calculation, payments (simulated checkout, paid at once), payouts (paid at once), receipts, financial ledger, reconciliation, premium reminders, admin metrics.</t>
        </is>
      </c>
      <c r="E10" s="23" t="inlineStr">
        <is>
          <t>/api/financial/**</t>
        </is>
      </c>
      <c r="F10" s="23" t="inlineStr">
        <is>
          <t>H2 file (R2DBC) - financialdb</t>
        </is>
      </c>
      <c r="G10" s="23" t="inlineStr">
        <is>
          <t>financial_transactions, payments, payouts, pricing_rules, quotes, reconciliation_records</t>
        </is>
      </c>
      <c r="H10" s="23" t="inlineStr">
        <is>
          <t>PaymentMethod: MOCK_CARD, MOCK_BANK_TRANSFER, MOCK_UPI; PaymentStatus: PENDING, SUCCESS, FAILED, REFUNDED; PayoutStatus: PENDING, PROCESSING, SUCCESS, FAILED; PricingRuleStatus: DRAFT, ACTIVE, INACTIVE, ARCHIVED; QuoteStatus: CREATED, ACCEPTED, EXPIRED, CANCELLED, CONSUMED</t>
        </is>
      </c>
      <c r="I10" s="23" t="inlineStr">
        <is>
          <t>FinancialRouter, PayoutReceiptRouter</t>
        </is>
      </c>
      <c r="J10" s="23" t="inlineStr">
        <is>
          <t>MetricsHandler, PaymentHandler, PayoutHandler, PayoutReceiptHandler, PricingRuleHandler, QuoteHandler</t>
        </is>
      </c>
      <c r="K10" s="23" t="inlineStr">
        <is>
          <t>ClaimsServiceClient, DefaultPricingRuleProvisioner, FinancialTransactionService, MetricsService, NotificationService, NotificationServiceClient, PaymentService, PayoutReceiptService, PayoutService, PricingRuleService, ProductServiceClient, QuoteService, TriggerServiceClient</t>
        </is>
      </c>
      <c r="L10" s="23" t="inlineStr">
        <is>
          <t>DefaultPricingRuleScheduler.syncDefaultRules, PayoutRetryScheduler.payOutstandingPayouts, PremiumReminderScheduler.sendPremiumReminders, ReconciliationScheduler.runReconciliation</t>
        </is>
      </c>
      <c r="M10" s="23" t="inlineStr">
        <is>
          <t>Product-Svc, Trigger-Svc, Claims-Svc, Notification-Svc</t>
        </is>
      </c>
      <c r="N10" s="23" t="inlineStr">
        <is>
          <t>Gateway, Product-Svc, Claims-Svc</t>
        </is>
      </c>
      <c r="O10" s="23">
        <f>COUNTIFS('API Endpoints'!B$4:B$399,A10)</f>
        <v/>
      </c>
      <c r="P10" s="23">
        <f>COUNTIFS('API Endpoints'!B$4:B$399,A10,'API Endpoints'!H$4:H$399,"Public")</f>
        <v/>
      </c>
      <c r="Q10" s="23">
        <f>COUNTIFS('API Endpoints'!B$4:B$399,A10,'API Endpoints'!H$4:H$399,"Secured")</f>
        <v/>
      </c>
      <c r="R10" s="23">
        <f>COUNTIFS('API Endpoints'!B$4:B$399,A10,'API Endpoints'!H$4:H$399,"Internal")</f>
        <v/>
      </c>
    </row>
    <row r="11" ht="337.5" customHeight="1" s="20">
      <c r="A11" s="12" t="inlineStr">
        <is>
          <t>Notification Service</t>
        </is>
      </c>
      <c r="B11" s="12" t="inlineStr">
        <is>
          <t>NOTIFICATION-SERVICE</t>
        </is>
      </c>
      <c r="C11" s="12" t="n">
        <v>8085</v>
      </c>
      <c r="D11" s="12" t="inlineStr">
        <is>
          <t>In-app notifications only: inbox, unread count, mark read / delete, admin view, and a live SSE stream to signed-in users.</t>
        </is>
      </c>
      <c r="E11" s="12" t="inlineStr">
        <is>
          <t>/api/notifications/**</t>
        </is>
      </c>
      <c r="F11" s="12" t="inlineStr">
        <is>
          <t>H2 file (R2DBC) - notificationdb</t>
        </is>
      </c>
      <c r="G11" s="12" t="inlineStr">
        <is>
          <t>notifications</t>
        </is>
      </c>
      <c r="H11" s="12" t="inlineStr">
        <is>
          <t>NotificationType: POLICY_SUBMITTED, POLICY_APPROVED, POLICY_REJECTED, POLICY_CANCELLED, POLICY_EXPIRED, POLICY_RENEWAL_DUE, POLICY_DOCUMENT_REQUESTED, PRODUCT_CREATED, PRODUCT_UPDATED, CLAIM_SUBMITTED, CLAIM_UNDER_REVIEW, CLAIM_APPROVED, CLAIM_REJECTED, CLAIM_CANCELLED, CLAIM_SETTLED, MANUAL_CLAIM_SUBMITTED, MANUAL_CLAIM_INVESTIGATION_STARTED, MANUAL_CLAIM_INVESTIGATION_COMPLETED, AUTOMATIC_CLAIM_CREATED, CLAIM_DOCUMENT_REQUESTED, CLAIM_REMINDER, CLAIM_ESCALATED, CLAIM_PAYMENT_INITIATED, TRIGGER_DETECTED, TRIGGER_VERIFIED, TRIGGER_REJECTED, TRIGGER_PROCESSED, THRESHOLD_APPROACHING, TRIGGER_THRESHOLD_EXCEEDED, TRIGGER_EVENT_DETECTED, TRIGGER_EVENT_VERIFIED, TRIGGER_EVENT_REJECTED, MANUAL_TRIGGER_CONFIRMED, MANUAL_TRIGGER_NOT_CONFIRMED, PARAMETRIC_COVERAGE_TRIGGERED, OBSERVATION_CREATED, PERIL_CREATED, TRIGGER_DEFINITION_CREATED, LOCATION_ZONE_CREATED, PAYMENT_SUCCESS, PAYMENT_FAILED, PAYMENT_PENDING, PAYMENT_RETRY, PAYMENT_REFUNDED, PAYOUT_PROCESSED, PAYOUT_INITIATED, PAYOUT_SUCCESS, PAYOUT_FAILED, PAYOUT_PENDING, PAYOUT_RETRY, QUOTE_CREATED, QUOTE_EXPIRED, QUOTE_CONSUMED, PREMIUM_DUE, PREMIUM_OVERDUE, REFUND_PROCESSED, REFUND_FAILED, RECONCILIATION_COMPLETED, RECONCILIATION_DISCREPANCY, PRICING_RULE_CREATED, PRICING_RULE_UPDATED, GENERAL; RelatedEntityType: POLICY, CLAIM, TRIGGER_EVENT, PAYMENT, PAYOUT, QUOTE, PRICING_RULE, RECONCILIATION, USER, PRODUCT</t>
        </is>
      </c>
      <c r="I11" s="12" t="inlineStr">
        <is>
          <t>NotificationRouter</t>
        </is>
      </c>
      <c r="J11" s="12" t="inlineStr">
        <is>
          <t>NotificationHandler</t>
        </is>
      </c>
      <c r="K11" s="12" t="inlineStr">
        <is>
          <t>NotificationService, NotificationStream</t>
        </is>
      </c>
      <c r="L11" s="12" t="inlineStr">
        <is>
          <t>NotificationScheduler.cleanupOldNotifications</t>
        </is>
      </c>
      <c r="M11" s="12" t="inlineStr">
        <is>
          <t>- (leaf service)</t>
        </is>
      </c>
      <c r="N11" s="12" t="inlineStr">
        <is>
          <t>Gateway, Product-Svc, Claims-Svc, Financial-Svc</t>
        </is>
      </c>
      <c r="O11" s="12">
        <f>COUNTIFS('API Endpoints'!B$4:B$399,A11)</f>
        <v/>
      </c>
      <c r="P11" s="12">
        <f>COUNTIFS('API Endpoints'!B$4:B$399,A11,'API Endpoints'!H$4:H$399,"Public")</f>
        <v/>
      </c>
      <c r="Q11" s="12">
        <f>COUNTIFS('API Endpoints'!B$4:B$399,A11,'API Endpoints'!H$4:H$399,"Secured")</f>
        <v/>
      </c>
      <c r="R11" s="12">
        <f>COUNTIFS('API Endpoints'!B$4:B$399,A11,'API Endpoints'!H$4:H$399,"Internal")</f>
        <v/>
      </c>
    </row>
    <row r="12">
      <c r="A12" s="5" t="inlineStr">
        <is>
          <t>Total</t>
        </is>
      </c>
      <c r="O12" s="5">
        <f>SUM(O4:O11)</f>
        <v/>
      </c>
      <c r="P12" s="5">
        <f>SUM(P4:P11)</f>
        <v/>
      </c>
      <c r="Q12" s="5">
        <f>SUM(Q4:Q11)</f>
        <v/>
      </c>
      <c r="R12" s="5">
        <f>SUM(R4:R11)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P210"/>
  <sheetViews>
    <sheetView showGridLines="0" zoomScale="53" workbookViewId="0">
      <pane xSplit="6" ySplit="3" topLeftCell="N70" activePane="bottomRight" state="frozen"/>
      <selection pane="topRight" activeCell="A1" sqref="A1"/>
      <selection pane="bottomLeft" activeCell="A1" sqref="A1"/>
      <selection pane="bottomRight" activeCell="Y119" sqref="Y119"/>
    </sheetView>
  </sheetViews>
  <sheetFormatPr baseColWidth="8" defaultRowHeight="18.5"/>
  <cols>
    <col width="9" customWidth="1" style="26" min="1" max="1"/>
    <col width="20" customWidth="1" style="26" min="2" max="2"/>
    <col width="18" customWidth="1" style="26" min="3" max="3"/>
    <col width="22" customWidth="1" style="26" min="4" max="4"/>
    <col width="12.08984375" customWidth="1" style="26" min="5" max="5"/>
    <col width="46" customWidth="1" style="26" min="6" max="6"/>
    <col width="14" customWidth="1" style="26" min="7" max="7"/>
    <col width="9" customWidth="1" style="26" min="8" max="8"/>
    <col width="26" customWidth="1" style="26" min="9" max="9"/>
    <col width="32" customWidth="1" style="26" min="10" max="10"/>
    <col width="38" customWidth="1" style="26" min="11" max="11"/>
    <col width="40" customWidth="1" style="26" min="12" max="12"/>
    <col width="70" customWidth="1" style="26" min="13" max="14"/>
    <col width="36" customWidth="1" style="26" min="15" max="15"/>
    <col width="34" customWidth="1" style="26" min="16" max="16"/>
    <col width="8.7265625" customWidth="1" style="26" min="17" max="16384"/>
  </cols>
  <sheetData>
    <row r="1">
      <c r="A1" s="25" t="inlineStr">
        <is>
          <t>API Endpoint Catalogue (all services)</t>
        </is>
      </c>
    </row>
    <row r="3" ht="36" customHeight="1" s="20">
      <c r="A3" s="27" t="inlineStr">
        <is>
          <t>ID</t>
        </is>
      </c>
      <c r="B3" s="27" t="inlineStr">
        <is>
          <t>Service</t>
        </is>
      </c>
      <c r="C3" s="27" t="inlineStr">
        <is>
          <t>Eureka name</t>
        </is>
      </c>
      <c r="D3" s="27" t="inlineStr">
        <is>
          <t>Router</t>
        </is>
      </c>
      <c r="E3" s="27" t="inlineStr">
        <is>
          <t>HTTP</t>
        </is>
      </c>
      <c r="F3" s="27" t="inlineStr">
        <is>
          <t>Path</t>
        </is>
      </c>
      <c r="G3" s="27" t="inlineStr">
        <is>
          <t>Consumes</t>
        </is>
      </c>
      <c r="H3" s="27" t="inlineStr">
        <is>
          <t>Scope</t>
        </is>
      </c>
      <c r="I3" s="27" t="inlineStr">
        <is>
          <t>Allowed roles</t>
        </is>
      </c>
      <c r="J3" s="27" t="inlineStr">
        <is>
          <t>Gateway / access path</t>
        </is>
      </c>
      <c r="K3" s="27" t="inlineStr">
        <is>
          <t>Handler method</t>
        </is>
      </c>
      <c r="L3" s="27" t="inlineStr">
        <is>
          <t>Delegates to (service methods)</t>
        </is>
      </c>
      <c r="M3" s="27" t="inlineStr">
        <is>
          <t>Business description &amp; rules</t>
        </is>
      </c>
      <c r="N3" s="27" t="inlineStr">
        <is>
          <t>Downstream calls / side effects (notifications, DB)</t>
        </is>
      </c>
      <c r="O3" s="27" t="inlineStr">
        <is>
          <t>Called from SPA (Angular service.method)</t>
        </is>
      </c>
      <c r="P3" s="27" t="inlineStr">
        <is>
          <t>SPA pages (routes)</t>
        </is>
      </c>
    </row>
    <row r="4" ht="70" customHeight="1" s="20">
      <c r="A4" s="28" t="inlineStr">
        <is>
          <t>EP-001</t>
        </is>
      </c>
      <c r="B4" s="28" t="inlineStr">
        <is>
          <t>Auth Service</t>
        </is>
      </c>
      <c r="C4" s="28" t="inlineStr">
        <is>
          <t>AUTH-SERVICE</t>
        </is>
      </c>
      <c r="D4" s="28" t="inlineStr">
        <is>
          <t>AuthRouter</t>
        </is>
      </c>
      <c r="E4" s="29" t="inlineStr">
        <is>
          <t>POST</t>
        </is>
      </c>
      <c r="F4" s="28" t="inlineStr">
        <is>
          <t>/api/auth/register</t>
        </is>
      </c>
      <c r="G4" s="28" t="inlineStr">
        <is>
          <t>application/json</t>
        </is>
      </c>
      <c r="H4" s="28" t="inlineStr">
        <is>
          <t>Public</t>
        </is>
      </c>
      <c r="I4" s="28" t="inlineStr">
        <is>
          <t>PUBLIC</t>
        </is>
      </c>
      <c r="J4" s="28" t="inlineStr">
        <is>
          <t>Public (no JWT)</t>
        </is>
      </c>
      <c r="K4" s="28" t="inlineStr">
        <is>
          <t>AuthHandler.register()</t>
        </is>
      </c>
      <c r="L4" s="28" t="inlineStr">
        <is>
          <t>AuthService.register()</t>
        </is>
      </c>
      <c r="M4" s="28" t="inlineStr">
        <is>
          <t>Register a new customer account. Normalises email, rejects duplicates (409), assigns ROLE_CUSTOMER, creates user_credentials + initial user_profile, issues access/refresh JWTs and a session.</t>
        </is>
      </c>
      <c r="N4" s="28" t="inlineStr">
        <is>
          <t>DB: users_credentials, user_profiles, sessions, refresh_tokens</t>
        </is>
      </c>
      <c r="O4" s="28" t="inlineStr">
        <is>
          <t>AuthService.register</t>
        </is>
      </c>
      <c r="P4" s="28" t="inlineStr">
        <is>
          <t>/register</t>
        </is>
      </c>
    </row>
    <row r="5" ht="70" customHeight="1" s="20">
      <c r="A5" s="28" t="inlineStr">
        <is>
          <t>EP-002</t>
        </is>
      </c>
      <c r="B5" s="28" t="inlineStr">
        <is>
          <t>Auth Service</t>
        </is>
      </c>
      <c r="C5" s="28" t="inlineStr">
        <is>
          <t>AUTH-SERVICE</t>
        </is>
      </c>
      <c r="D5" s="28" t="inlineStr">
        <is>
          <t>AuthRouter</t>
        </is>
      </c>
      <c r="E5" s="29" t="inlineStr">
        <is>
          <t>POST</t>
        </is>
      </c>
      <c r="F5" s="28" t="inlineStr">
        <is>
          <t>/api/auth/login</t>
        </is>
      </c>
      <c r="G5" s="28" t="inlineStr">
        <is>
          <t>application/json</t>
        </is>
      </c>
      <c r="H5" s="28" t="inlineStr">
        <is>
          <t>Public</t>
        </is>
      </c>
      <c r="I5" s="28" t="inlineStr">
        <is>
          <t>PUBLIC</t>
        </is>
      </c>
      <c r="J5" s="28" t="inlineStr">
        <is>
          <t>Public (no JWT)</t>
        </is>
      </c>
      <c r="K5" s="28" t="inlineStr">
        <is>
          <t>AuthHandler.login()</t>
        </is>
      </c>
      <c r="L5" s="28" t="inlineStr">
        <is>
          <t>AuthService.login()</t>
        </is>
      </c>
      <c r="M5" s="28" t="inlineStr">
        <is>
          <t>Authenticate with email + password (BCrypt). Validates user status is ACTIVE, creates a session (device name + IP) and returns access token (15 min) + refresh token (7 days).</t>
        </is>
      </c>
      <c r="N5" s="28" t="inlineStr">
        <is>
          <t>DB: sessions, refresh_tokens</t>
        </is>
      </c>
      <c r="O5" s="28" t="inlineStr">
        <is>
          <t>AuthService.login</t>
        </is>
      </c>
      <c r="P5" s="28" t="inlineStr">
        <is>
          <t>/login</t>
        </is>
      </c>
    </row>
    <row r="6" ht="35" customHeight="1" s="20">
      <c r="A6" s="28" t="inlineStr">
        <is>
          <t>EP-003</t>
        </is>
      </c>
      <c r="B6" s="28" t="inlineStr">
        <is>
          <t>Auth Service</t>
        </is>
      </c>
      <c r="C6" s="28" t="inlineStr">
        <is>
          <t>AUTH-SERVICE</t>
        </is>
      </c>
      <c r="D6" s="28" t="inlineStr">
        <is>
          <t>AuthRouter</t>
        </is>
      </c>
      <c r="E6" s="29" t="inlineStr">
        <is>
          <t>POST</t>
        </is>
      </c>
      <c r="F6" s="28" t="inlineStr">
        <is>
          <t>/api/auth/refresh</t>
        </is>
      </c>
      <c r="G6" s="28" t="inlineStr">
        <is>
          <t>application/json</t>
        </is>
      </c>
      <c r="H6" s="28" t="inlineStr">
        <is>
          <t>Public</t>
        </is>
      </c>
      <c r="I6" s="28" t="inlineStr">
        <is>
          <t>PUBLIC</t>
        </is>
      </c>
      <c r="J6" s="28" t="inlineStr">
        <is>
          <t>Public (no JWT)</t>
        </is>
      </c>
      <c r="K6" s="28" t="inlineStr">
        <is>
          <t>AuthHandler.refresh()</t>
        </is>
      </c>
      <c r="L6" s="28" t="inlineStr">
        <is>
          <t>AuthService.refresh()</t>
        </is>
      </c>
      <c r="M6" s="28" t="inlineStr">
        <is>
          <t>Exchange a valid refresh token for a new access/refresh token pair (token rotation).</t>
        </is>
      </c>
      <c r="N6" s="28" t="inlineStr">
        <is>
          <t>DB: refresh_tokens, sessions</t>
        </is>
      </c>
      <c r="O6" s="28" t="inlineStr">
        <is>
          <t>AuthService.refresh</t>
        </is>
      </c>
      <c r="P6" s="28" t="inlineStr">
        <is>
          <t>-</t>
        </is>
      </c>
    </row>
    <row r="7" ht="35" customHeight="1" s="20">
      <c r="A7" s="28" t="inlineStr">
        <is>
          <t>EP-004</t>
        </is>
      </c>
      <c r="B7" s="28" t="inlineStr">
        <is>
          <t>Auth Service</t>
        </is>
      </c>
      <c r="C7" s="28" t="inlineStr">
        <is>
          <t>AUTH-SERVICE</t>
        </is>
      </c>
      <c r="D7" s="28" t="inlineStr">
        <is>
          <t>AuthRouter</t>
        </is>
      </c>
      <c r="E7" s="29" t="inlineStr">
        <is>
          <t>POST</t>
        </is>
      </c>
      <c r="F7" s="28" t="inlineStr">
        <is>
          <t>/api/auth/logout</t>
        </is>
      </c>
      <c r="G7" s="28" t="inlineStr">
        <is>
          <t>application/json</t>
        </is>
      </c>
      <c r="H7" s="28" t="inlineStr">
        <is>
          <t>Secured</t>
        </is>
      </c>
      <c r="I7" s="28" t="inlineStr">
        <is>
          <t>AUTHENTICATED</t>
        </is>
      </c>
      <c r="J7" s="28" t="inlineStr">
        <is>
          <t>JWT required (Bearer)</t>
        </is>
      </c>
      <c r="K7" s="28" t="inlineStr">
        <is>
          <t>AuthHandler.logout()</t>
        </is>
      </c>
      <c r="L7" s="28" t="inlineStr">
        <is>
          <t>AuthService.logout()</t>
        </is>
      </c>
      <c r="M7" s="28" t="inlineStr">
        <is>
          <t>Revoke the supplied refresh token and end the current session.</t>
        </is>
      </c>
      <c r="N7" s="28" t="inlineStr">
        <is>
          <t>DB: refresh_tokens, sessions</t>
        </is>
      </c>
      <c r="O7" s="28" t="inlineStr">
        <is>
          <t>AuthService.logout</t>
        </is>
      </c>
      <c r="P7" s="28" t="inlineStr">
        <is>
          <t>-</t>
        </is>
      </c>
    </row>
    <row r="8" ht="52.5" customHeight="1" s="20">
      <c r="A8" s="28" t="inlineStr">
        <is>
          <t>EP-005</t>
        </is>
      </c>
      <c r="B8" s="28" t="inlineStr">
        <is>
          <t>Auth Service</t>
        </is>
      </c>
      <c r="C8" s="28" t="inlineStr">
        <is>
          <t>AUTH-SERVICE</t>
        </is>
      </c>
      <c r="D8" s="28" t="inlineStr">
        <is>
          <t>AuthRouter</t>
        </is>
      </c>
      <c r="E8" s="29" t="inlineStr">
        <is>
          <t>GET</t>
        </is>
      </c>
      <c r="F8" s="28" t="inlineStr">
        <is>
          <t>/api/auth/me</t>
        </is>
      </c>
      <c r="G8" s="28" t="inlineStr">
        <is>
          <t>application/json</t>
        </is>
      </c>
      <c r="H8" s="28" t="inlineStr">
        <is>
          <t>Secured</t>
        </is>
      </c>
      <c r="I8" s="28" t="inlineStr">
        <is>
          <t>AUTHENTICATED</t>
        </is>
      </c>
      <c r="J8" s="28" t="inlineStr">
        <is>
          <t>JWT required (Bearer)</t>
        </is>
      </c>
      <c r="K8" s="28" t="inlineStr">
        <is>
          <t>AuthHandler.me()</t>
        </is>
      </c>
      <c r="L8" s="28" t="inlineStr">
        <is>
          <t>-</t>
        </is>
      </c>
      <c r="M8" s="28" t="inlineStr">
        <is>
          <t>Return the signed-in user (id, name, email, role, customerId). Used by the SPA to restore a session on reload.</t>
        </is>
      </c>
      <c r="N8" s="28" t="inlineStr">
        <is>
          <t>DB read: users_credentials, user_profiles</t>
        </is>
      </c>
      <c r="O8" s="28" t="inlineStr">
        <is>
          <t>AuthService.me</t>
        </is>
      </c>
      <c r="P8" s="28" t="inlineStr">
        <is>
          <t>-</t>
        </is>
      </c>
    </row>
    <row r="9" ht="35" customHeight="1" s="20">
      <c r="A9" s="28" t="inlineStr">
        <is>
          <t>EP-006</t>
        </is>
      </c>
      <c r="B9" s="28" t="inlineStr">
        <is>
          <t>Auth Service</t>
        </is>
      </c>
      <c r="C9" s="28" t="inlineStr">
        <is>
          <t>AUTH-SERVICE</t>
        </is>
      </c>
      <c r="D9" s="28" t="inlineStr">
        <is>
          <t>UserRouter</t>
        </is>
      </c>
      <c r="E9" s="29" t="inlineStr">
        <is>
          <t>GET</t>
        </is>
      </c>
      <c r="F9" s="28" t="inlineStr">
        <is>
          <t>/api/users/me</t>
        </is>
      </c>
      <c r="G9" s="28" t="inlineStr">
        <is>
          <t>-</t>
        </is>
      </c>
      <c r="H9" s="28" t="inlineStr">
        <is>
          <t>Secured</t>
        </is>
      </c>
      <c r="I9" s="28" t="inlineStr">
        <is>
          <t>AUTHENTICATED</t>
        </is>
      </c>
      <c r="J9" s="28" t="inlineStr">
        <is>
          <t>JWT required (Bearer)</t>
        </is>
      </c>
      <c r="K9" s="28" t="inlineStr">
        <is>
          <t>UserHandler.getMyProfile()</t>
        </is>
      </c>
      <c r="L9" s="28" t="inlineStr">
        <is>
          <t>-</t>
        </is>
      </c>
      <c r="M9" s="28" t="inlineStr">
        <is>
          <t>Get my profile (personal details, segment, addresses).</t>
        </is>
      </c>
      <c r="N9" s="28" t="inlineStr">
        <is>
          <t>DB read: user_profiles, addresses</t>
        </is>
      </c>
      <c r="O9" s="28" t="inlineStr">
        <is>
          <t>UserService.getMyProfile</t>
        </is>
      </c>
      <c r="P9" s="28" t="inlineStr">
        <is>
          <t>/customer/profile, /admin/profile, /underwriter/profile, /claims-officer/profile</t>
        </is>
      </c>
    </row>
    <row r="10" ht="36" customHeight="1" s="20">
      <c r="A10" s="28" t="inlineStr">
        <is>
          <t>EP-007</t>
        </is>
      </c>
      <c r="B10" s="28" t="inlineStr">
        <is>
          <t>Auth Service</t>
        </is>
      </c>
      <c r="C10" s="28" t="inlineStr">
        <is>
          <t>AUTH-SERVICE</t>
        </is>
      </c>
      <c r="D10" s="28" t="inlineStr">
        <is>
          <t>UserRouter</t>
        </is>
      </c>
      <c r="E10" s="29" t="inlineStr">
        <is>
          <t>PUT</t>
        </is>
      </c>
      <c r="F10" s="28" t="inlineStr">
        <is>
          <t>/api/users/me</t>
        </is>
      </c>
      <c r="G10" s="28" t="inlineStr">
        <is>
          <t>application/json</t>
        </is>
      </c>
      <c r="H10" s="28" t="inlineStr">
        <is>
          <t>Secured</t>
        </is>
      </c>
      <c r="I10" s="28" t="inlineStr">
        <is>
          <t>CUSTOMER</t>
        </is>
      </c>
      <c r="J10" s="28" t="inlineStr">
        <is>
          <t>JWT required (Bearer)</t>
        </is>
      </c>
      <c r="K10" s="28" t="inlineStr">
        <is>
          <t>UserHandler.saveMyProfile()</t>
        </is>
      </c>
      <c r="L10" s="28" t="inlineStr">
        <is>
          <t>UserProfileService.saveProfile()</t>
        </is>
      </c>
      <c r="M10" s="28" t="inlineStr">
        <is>
          <t>Create/update my profile (name, phone, DOB, segment, address).</t>
        </is>
      </c>
      <c r="N10" s="28" t="inlineStr">
        <is>
          <t>DB: user_profiles, addresses</t>
        </is>
      </c>
      <c r="O10" s="28" t="inlineStr">
        <is>
          <t>UserService.updateMyProfile</t>
        </is>
      </c>
      <c r="P10" s="28" t="inlineStr">
        <is>
          <t>/customer/profile, /admin/profile, /underwriter/profile, /claims-officer/profile</t>
        </is>
      </c>
    </row>
    <row r="11" ht="52.5" customHeight="1" s="20">
      <c r="A11" s="28" t="inlineStr">
        <is>
          <t>EP-008</t>
        </is>
      </c>
      <c r="B11" s="28" t="inlineStr">
        <is>
          <t>Auth Service</t>
        </is>
      </c>
      <c r="C11" s="28" t="inlineStr">
        <is>
          <t>AUTH-SERVICE</t>
        </is>
      </c>
      <c r="D11" s="28" t="inlineStr">
        <is>
          <t>UserRouter</t>
        </is>
      </c>
      <c r="E11" s="29" t="inlineStr">
        <is>
          <t>GET</t>
        </is>
      </c>
      <c r="F11" s="28" t="inlineStr">
        <is>
          <t>/api/users</t>
        </is>
      </c>
      <c r="G11" s="28" t="inlineStr">
        <is>
          <t>-</t>
        </is>
      </c>
      <c r="H11" s="28" t="inlineStr">
        <is>
          <t>Secured</t>
        </is>
      </c>
      <c r="I11" s="28" t="inlineStr">
        <is>
          <t>ADMIN</t>
        </is>
      </c>
      <c r="J11" s="28" t="inlineStr">
        <is>
          <t>JWT required (Bearer)</t>
        </is>
      </c>
      <c r="K11" s="28" t="inlineStr">
        <is>
          <t>UserHandler.getAllUsers()</t>
        </is>
      </c>
      <c r="L11" s="28" t="inlineStr">
        <is>
          <t>UserProfileService.getAllUsers()</t>
        </is>
      </c>
      <c r="M11" s="28" t="inlineStr">
        <is>
          <t>List all users, filterable by status and customer segment.</t>
        </is>
      </c>
      <c r="N11" s="28" t="inlineStr">
        <is>
          <t>DB read: users_credentials, user_profiles</t>
        </is>
      </c>
      <c r="O11" s="28" t="inlineStr">
        <is>
          <t>UserService.getAllUsers</t>
        </is>
      </c>
      <c r="P11" s="28" t="inlineStr">
        <is>
          <t>/admin/dashboard, /admin/users</t>
        </is>
      </c>
    </row>
    <row r="12" ht="35" customHeight="1" s="20">
      <c r="A12" s="28" t="inlineStr">
        <is>
          <t>EP-009</t>
        </is>
      </c>
      <c r="B12" s="28" t="inlineStr">
        <is>
          <t>Auth Service</t>
        </is>
      </c>
      <c r="C12" s="28" t="inlineStr">
        <is>
          <t>AUTH-SERVICE</t>
        </is>
      </c>
      <c r="D12" s="28" t="inlineStr">
        <is>
          <t>UserRouter</t>
        </is>
      </c>
      <c r="E12" s="29" t="inlineStr">
        <is>
          <t>GET</t>
        </is>
      </c>
      <c r="F12" s="28" t="inlineStr">
        <is>
          <t>/api/users/{userId}</t>
        </is>
      </c>
      <c r="G12" s="28" t="inlineStr">
        <is>
          <t>-</t>
        </is>
      </c>
      <c r="H12" s="28" t="inlineStr">
        <is>
          <t>Secured</t>
        </is>
      </c>
      <c r="I12" s="28" t="inlineStr">
        <is>
          <t>ADMIN, UNDERWRITER, CLAIMS_OFFICER</t>
        </is>
      </c>
      <c r="J12" s="28" t="inlineStr">
        <is>
          <t>JWT required (Bearer)</t>
        </is>
      </c>
      <c r="K12" s="28" t="inlineStr">
        <is>
          <t>UserHandler.getUser()</t>
        </is>
      </c>
      <c r="L12" s="28" t="inlineStr">
        <is>
          <t>-</t>
        </is>
      </c>
      <c r="M12" s="28" t="inlineStr">
        <is>
          <t>Get a single user's profile (staff lookup of a customer).</t>
        </is>
      </c>
      <c r="N12" s="28" t="inlineStr">
        <is>
          <t>DB read</t>
        </is>
      </c>
      <c r="O12" s="28" t="inlineStr">
        <is>
          <t>UserService.getUser</t>
        </is>
      </c>
      <c r="P12" s="28" t="inlineStr">
        <is>
          <t>/admin/claims/:claimId, /admin/policies/:policyId, /admin/users/:userId, /claims-officer/claims/:claimId, /underwriter/policies/:policyId</t>
        </is>
      </c>
    </row>
    <row r="13" ht="52.5" customHeight="1" s="20">
      <c r="A13" s="28" t="inlineStr">
        <is>
          <t>EP-010</t>
        </is>
      </c>
      <c r="B13" s="28" t="inlineStr">
        <is>
          <t>Auth Service</t>
        </is>
      </c>
      <c r="C13" s="28" t="inlineStr">
        <is>
          <t>AUTH-SERVICE</t>
        </is>
      </c>
      <c r="D13" s="28" t="inlineStr">
        <is>
          <t>UserRouter</t>
        </is>
      </c>
      <c r="E13" s="29" t="inlineStr">
        <is>
          <t>PUT</t>
        </is>
      </c>
      <c r="F13" s="28" t="inlineStr">
        <is>
          <t>/api/users/{userId}/status</t>
        </is>
      </c>
      <c r="G13" s="28" t="inlineStr">
        <is>
          <t>application/json</t>
        </is>
      </c>
      <c r="H13" s="28" t="inlineStr">
        <is>
          <t>Secured</t>
        </is>
      </c>
      <c r="I13" s="28" t="inlineStr">
        <is>
          <t>ADMIN</t>
        </is>
      </c>
      <c r="J13" s="28" t="inlineStr">
        <is>
          <t>JWT required (Bearer)</t>
        </is>
      </c>
      <c r="K13" s="28" t="inlineStr">
        <is>
          <t>UserHandler.updateStatus()</t>
        </is>
      </c>
      <c r="L13" s="28" t="inlineStr">
        <is>
          <t>UserProfileService.updateStatus()</t>
        </is>
      </c>
      <c r="M13" s="28" t="inlineStr">
        <is>
          <t>Change a user's status (ACTIVE / SUSPENDED / INACTIVE).</t>
        </is>
      </c>
      <c r="N13" s="28" t="inlineStr">
        <is>
          <t>DB: users_credentials</t>
        </is>
      </c>
      <c r="O13" s="28" t="inlineStr">
        <is>
          <t>UserService.updateUserStatus</t>
        </is>
      </c>
      <c r="P13" s="28" t="inlineStr">
        <is>
          <t>/admin/users</t>
        </is>
      </c>
    </row>
    <row r="14" ht="52.5" customHeight="1" s="20">
      <c r="A14" s="28" t="inlineStr">
        <is>
          <t>EP-011</t>
        </is>
      </c>
      <c r="B14" s="28" t="inlineStr">
        <is>
          <t>Claims Service</t>
        </is>
      </c>
      <c r="C14" s="28" t="inlineStr">
        <is>
          <t>CLAIMS-SERVICE</t>
        </is>
      </c>
      <c r="D14" s="28" t="inlineStr">
        <is>
          <t>ClaimDocumentRouter</t>
        </is>
      </c>
      <c r="E14" s="29" t="inlineStr">
        <is>
          <t>POST</t>
        </is>
      </c>
      <c r="F14" s="28" t="inlineStr">
        <is>
          <t>/api/claims/{claimId}/documents</t>
        </is>
      </c>
      <c r="G14" s="28" t="inlineStr">
        <is>
          <t>multipart/form-data</t>
        </is>
      </c>
      <c r="H14" s="28" t="inlineStr">
        <is>
          <t>Secured</t>
        </is>
      </c>
      <c r="I14" s="28" t="inlineStr">
        <is>
          <t>CUSTOMER</t>
        </is>
      </c>
      <c r="J14" s="28" t="inlineStr">
        <is>
          <t>JWT required (Bearer)</t>
        </is>
      </c>
      <c r="K14" s="28" t="inlineStr">
        <is>
          <t>ClaimDocumentHandler.upload()</t>
        </is>
      </c>
      <c r="L14" s="28" t="inlineStr">
        <is>
          <t>ClaimDocumentService.upload()</t>
        </is>
      </c>
      <c r="M14" s="28" t="inlineStr">
        <is>
          <t>Upload evidence files (photos/PDF, multipart) to my claim. Files stored under ~/.climatesure/uploads, metadata in claim_documents.</t>
        </is>
      </c>
      <c r="N14" s="28" t="inlineStr">
        <is>
          <t>File system + DB: claim_documents</t>
        </is>
      </c>
      <c r="O14" s="28" t="inlineStr">
        <is>
          <t>ClaimService.uploadDocuments</t>
        </is>
      </c>
      <c r="P14" s="28" t="inlineStr">
        <is>
          <t>/customer/claims/new</t>
        </is>
      </c>
    </row>
    <row r="15" ht="52.5" customHeight="1" s="20">
      <c r="A15" s="28" t="inlineStr">
        <is>
          <t>EP-012</t>
        </is>
      </c>
      <c r="B15" s="28" t="inlineStr">
        <is>
          <t>Claims Service</t>
        </is>
      </c>
      <c r="C15" s="28" t="inlineStr">
        <is>
          <t>CLAIMS-SERVICE</t>
        </is>
      </c>
      <c r="D15" s="28" t="inlineStr">
        <is>
          <t>ClaimDocumentRouter</t>
        </is>
      </c>
      <c r="E15" s="29" t="inlineStr">
        <is>
          <t>GET</t>
        </is>
      </c>
      <c r="F15" s="28" t="inlineStr">
        <is>
          <t>/api/claims/{claimId}/documents</t>
        </is>
      </c>
      <c r="G15" s="28" t="inlineStr">
        <is>
          <t>-</t>
        </is>
      </c>
      <c r="H15" s="28" t="inlineStr">
        <is>
          <t>Secured</t>
        </is>
      </c>
      <c r="I15" s="28" t="inlineStr">
        <is>
          <t>CUSTOMER</t>
        </is>
      </c>
      <c r="J15" s="28" t="inlineStr">
        <is>
          <t>JWT required (Bearer)</t>
        </is>
      </c>
      <c r="K15" s="28" t="inlineStr">
        <is>
          <t>ClaimDocumentHandler.listMine()</t>
        </is>
      </c>
      <c r="L15" s="28" t="inlineStr">
        <is>
          <t>ClaimDocumentService.listForCustomer()</t>
        </is>
      </c>
      <c r="M15" s="28" t="inlineStr">
        <is>
          <t>List documents on my claim.</t>
        </is>
      </c>
      <c r="N15" s="28" t="inlineStr">
        <is>
          <t>DB read</t>
        </is>
      </c>
      <c r="O15" s="28" t="inlineStr">
        <is>
          <t>ClaimService.getMyDocuments</t>
        </is>
      </c>
      <c r="P15" s="28" t="inlineStr">
        <is>
          <t>/customer/claims/:claimId</t>
        </is>
      </c>
    </row>
    <row r="16" ht="35" customHeight="1" s="20">
      <c r="A16" s="28" t="inlineStr">
        <is>
          <t>EP-013</t>
        </is>
      </c>
      <c r="B16" s="28" t="inlineStr">
        <is>
          <t>Claims Service</t>
        </is>
      </c>
      <c r="C16" s="28" t="inlineStr">
        <is>
          <t>CLAIMS-SERVICE</t>
        </is>
      </c>
      <c r="D16" s="28" t="inlineStr">
        <is>
          <t>ClaimDocumentRouter</t>
        </is>
      </c>
      <c r="E16" s="29" t="inlineStr">
        <is>
          <t>GET</t>
        </is>
      </c>
      <c r="F16" s="28" t="inlineStr">
        <is>
          <t>/api/claims/{claimId}/documents/{documentId}</t>
        </is>
      </c>
      <c r="G16" s="28" t="inlineStr">
        <is>
          <t>-</t>
        </is>
      </c>
      <c r="H16" s="28" t="inlineStr">
        <is>
          <t>Secured</t>
        </is>
      </c>
      <c r="I16" s="28" t="inlineStr">
        <is>
          <t>CUSTOMER</t>
        </is>
      </c>
      <c r="J16" s="28" t="inlineStr">
        <is>
          <t>JWT required (Bearer)</t>
        </is>
      </c>
      <c r="K16" s="28" t="inlineStr">
        <is>
          <t>ClaimDocumentHandler.downloadMine()</t>
        </is>
      </c>
      <c r="L16" s="28" t="inlineStr">
        <is>
          <t>ClaimDocumentService.downloadForCustomer()</t>
        </is>
      </c>
      <c r="M16" s="28" t="inlineStr">
        <is>
          <t>Download one of my claim documents.</t>
        </is>
      </c>
      <c r="N16" s="28" t="inlineStr">
        <is>
          <t>File system read</t>
        </is>
      </c>
      <c r="O16" s="28" t="inlineStr">
        <is>
          <t>ClaimService.downloadMyDocument</t>
        </is>
      </c>
      <c r="P16" s="28" t="inlineStr">
        <is>
          <t>/customer/claims/:claimId</t>
        </is>
      </c>
    </row>
    <row r="17" ht="35" customHeight="1" s="20">
      <c r="A17" s="28" t="inlineStr">
        <is>
          <t>EP-014</t>
        </is>
      </c>
      <c r="B17" s="28" t="inlineStr">
        <is>
          <t>Claims Service</t>
        </is>
      </c>
      <c r="C17" s="28" t="inlineStr">
        <is>
          <t>CLAIMS-SERVICE</t>
        </is>
      </c>
      <c r="D17" s="28" t="inlineStr">
        <is>
          <t>ClaimDocumentRouter</t>
        </is>
      </c>
      <c r="E17" s="29" t="inlineStr">
        <is>
          <t>GET</t>
        </is>
      </c>
      <c r="F17" s="28" t="inlineStr">
        <is>
          <t>/api/claims/review/{claimId}/documents</t>
        </is>
      </c>
      <c r="G17" s="28" t="inlineStr">
        <is>
          <t>-</t>
        </is>
      </c>
      <c r="H17" s="28" t="inlineStr">
        <is>
          <t>Secured</t>
        </is>
      </c>
      <c r="I17" s="28" t="inlineStr">
        <is>
          <t>CLAIMS_OFFICER, ADMIN</t>
        </is>
      </c>
      <c r="J17" s="28" t="inlineStr">
        <is>
          <t>JWT required (Bearer)</t>
        </is>
      </c>
      <c r="K17" s="28" t="inlineStr">
        <is>
          <t>ClaimDocumentHandler.listForReview()</t>
        </is>
      </c>
      <c r="L17" s="28" t="inlineStr">
        <is>
          <t>ClaimDocumentService.listForStaff()</t>
        </is>
      </c>
      <c r="M17" s="28" t="inlineStr">
        <is>
          <t>List documents on any claim under review.</t>
        </is>
      </c>
      <c r="N17" s="28" t="inlineStr">
        <is>
          <t>DB read</t>
        </is>
      </c>
      <c r="O17" s="28" t="inlineStr">
        <is>
          <t>ClaimService.getReviewDocuments</t>
        </is>
      </c>
      <c r="P17" s="28" t="inlineStr">
        <is>
          <t>/admin/claims/:claimId, /claims-officer/claims/:claimId</t>
        </is>
      </c>
    </row>
    <row r="18" ht="36" customHeight="1" s="20">
      <c r="A18" s="28" t="inlineStr">
        <is>
          <t>EP-015</t>
        </is>
      </c>
      <c r="B18" s="28" t="inlineStr">
        <is>
          <t>Claims Service</t>
        </is>
      </c>
      <c r="C18" s="28" t="inlineStr">
        <is>
          <t>CLAIMS-SERVICE</t>
        </is>
      </c>
      <c r="D18" s="28" t="inlineStr">
        <is>
          <t>ClaimDocumentRouter</t>
        </is>
      </c>
      <c r="E18" s="29" t="inlineStr">
        <is>
          <t>GET</t>
        </is>
      </c>
      <c r="F18" s="28" t="inlineStr">
        <is>
          <t>/api/claims/review/{claimId}/documents/{documentId}</t>
        </is>
      </c>
      <c r="G18" s="28" t="inlineStr">
        <is>
          <t>-</t>
        </is>
      </c>
      <c r="H18" s="28" t="inlineStr">
        <is>
          <t>Secured</t>
        </is>
      </c>
      <c r="I18" s="28" t="inlineStr">
        <is>
          <t>CLAIMS_OFFICER, ADMIN</t>
        </is>
      </c>
      <c r="J18" s="28" t="inlineStr">
        <is>
          <t>JWT required (Bearer)</t>
        </is>
      </c>
      <c r="K18" s="28" t="inlineStr">
        <is>
          <t>ClaimDocumentHandler.downloadForReview()</t>
        </is>
      </c>
      <c r="L18" s="28" t="inlineStr">
        <is>
          <t>ClaimDocumentService.downloadForStaff()</t>
        </is>
      </c>
      <c r="M18" s="28" t="inlineStr">
        <is>
          <t>Download a claim document for review.</t>
        </is>
      </c>
      <c r="N18" s="28" t="inlineStr">
        <is>
          <t>File system read</t>
        </is>
      </c>
      <c r="O18" s="28" t="inlineStr">
        <is>
          <t>ClaimService.downloadReviewDocument</t>
        </is>
      </c>
      <c r="P18" s="28" t="inlineStr">
        <is>
          <t>/claims-officer/claims/:claimId</t>
        </is>
      </c>
    </row>
    <row r="19" ht="35" customHeight="1" s="20">
      <c r="A19" s="28" t="inlineStr">
        <is>
          <t>EP-016</t>
        </is>
      </c>
      <c r="B19" s="28" t="inlineStr">
        <is>
          <t>Claims Service</t>
        </is>
      </c>
      <c r="C19" s="28" t="inlineStr">
        <is>
          <t>CLAIMS-SERVICE</t>
        </is>
      </c>
      <c r="D19" s="28" t="inlineStr">
        <is>
          <t>ClaimRouter</t>
        </is>
      </c>
      <c r="E19" s="29" t="inlineStr">
        <is>
          <t>GET</t>
        </is>
      </c>
      <c r="F19" s="28" t="inlineStr">
        <is>
          <t>/api/claims/admin/all</t>
        </is>
      </c>
      <c r="G19" s="28" t="inlineStr">
        <is>
          <t>-</t>
        </is>
      </c>
      <c r="H19" s="28" t="inlineStr">
        <is>
          <t>Secured</t>
        </is>
      </c>
      <c r="I19" s="28" t="inlineStr">
        <is>
          <t>ADMIN</t>
        </is>
      </c>
      <c r="J19" s="28" t="inlineStr">
        <is>
          <t>JWT required (Bearer)</t>
        </is>
      </c>
      <c r="K19" s="28" t="inlineStr">
        <is>
          <t>ClaimHandler.getAllClaims()</t>
        </is>
      </c>
      <c r="L19" s="28" t="inlineStr">
        <is>
          <t>ClaimService.getAllClaims()</t>
        </is>
      </c>
      <c r="M19" s="28" t="inlineStr">
        <is>
          <t>All claims, filter by status / customerId.</t>
        </is>
      </c>
      <c r="N19" s="28" t="inlineStr">
        <is>
          <t>DB read</t>
        </is>
      </c>
      <c r="O19" s="28" t="inlineStr">
        <is>
          <t>ClaimService.getAllClaims</t>
        </is>
      </c>
      <c r="P19" s="28" t="inlineStr">
        <is>
          <t>/admin/claims, /admin/users/:userId</t>
        </is>
      </c>
    </row>
    <row r="20" ht="122.5" customHeight="1" s="20">
      <c r="A20" s="28" t="inlineStr">
        <is>
          <t>EP-017</t>
        </is>
      </c>
      <c r="B20" s="28" t="inlineStr">
        <is>
          <t>Claims Service</t>
        </is>
      </c>
      <c r="C20" s="28" t="inlineStr">
        <is>
          <t>CLAIMS-SERVICE</t>
        </is>
      </c>
      <c r="D20" s="28" t="inlineStr">
        <is>
          <t>ClaimRouter</t>
        </is>
      </c>
      <c r="E20" s="29" t="inlineStr">
        <is>
          <t>GET</t>
        </is>
      </c>
      <c r="F20" s="28" t="inlineStr">
        <is>
          <t>/api/claims/admin/{claimId}</t>
        </is>
      </c>
      <c r="G20" s="28" t="inlineStr">
        <is>
          <t>-</t>
        </is>
      </c>
      <c r="H20" s="28" t="inlineStr">
        <is>
          <t>Secured</t>
        </is>
      </c>
      <c r="I20" s="28" t="inlineStr">
        <is>
          <t>ADMIN</t>
        </is>
      </c>
      <c r="J20" s="28" t="inlineStr">
        <is>
          <t>JWT required (Bearer)</t>
        </is>
      </c>
      <c r="K20" s="28" t="inlineStr">
        <is>
          <t>ClaimHandler.getClaim()</t>
        </is>
      </c>
      <c r="L20" s="28" t="inlineStr">
        <is>
          <t>-</t>
        </is>
      </c>
      <c r="M20" s="28" t="inlineStr">
        <is>
          <t>Any claim (admin).</t>
        </is>
      </c>
      <c r="N20" s="28" t="inlineStr">
        <is>
          <t>DB read</t>
        </is>
      </c>
      <c r="O20" s="28" t="inlineStr">
        <is>
          <t>ClaimService.getAdminClaim</t>
        </is>
      </c>
      <c r="P20" s="28" t="inlineStr">
        <is>
          <t>/admin/claims/:claimId</t>
        </is>
      </c>
    </row>
    <row r="21" ht="35" customHeight="1" s="20">
      <c r="A21" s="28" t="inlineStr">
        <is>
          <t>EP-018</t>
        </is>
      </c>
      <c r="B21" s="28" t="inlineStr">
        <is>
          <t>Claims Service</t>
        </is>
      </c>
      <c r="C21" s="28" t="inlineStr">
        <is>
          <t>CLAIMS-SERVICE</t>
        </is>
      </c>
      <c r="D21" s="28" t="inlineStr">
        <is>
          <t>ClaimRouter</t>
        </is>
      </c>
      <c r="E21" s="29" t="inlineStr">
        <is>
          <t>GET</t>
        </is>
      </c>
      <c r="F21" s="28" t="inlineStr">
        <is>
          <t>/api/claims/review/manual</t>
        </is>
      </c>
      <c r="G21" s="28" t="inlineStr">
        <is>
          <t>-</t>
        </is>
      </c>
      <c r="H21" s="28" t="inlineStr">
        <is>
          <t>Secured</t>
        </is>
      </c>
      <c r="I21" s="28" t="inlineStr">
        <is>
          <t>CLAIMS_OFFICER, ADMIN</t>
        </is>
      </c>
      <c r="J21" s="28" t="inlineStr">
        <is>
          <t>JWT required (Bearer)</t>
        </is>
      </c>
      <c r="K21" s="28" t="inlineStr">
        <is>
          <t>ClaimHandler.getManualClaims()</t>
        </is>
      </c>
      <c r="L21" s="28" t="inlineStr">
        <is>
          <t>ClaimService.getManualClaims()</t>
        </is>
      </c>
      <c r="M21" s="28" t="inlineStr">
        <is>
          <t>Queue of MANUAL_EXCEPTION claims needing investigation.</t>
        </is>
      </c>
      <c r="N21" s="28" t="inlineStr">
        <is>
          <t>DB read</t>
        </is>
      </c>
      <c r="O21" s="28" t="inlineStr">
        <is>
          <t>(not called by SPA)</t>
        </is>
      </c>
      <c r="P21" s="28" t="inlineStr">
        <is>
          <t>-</t>
        </is>
      </c>
    </row>
    <row r="22" ht="52.5" customHeight="1" s="20">
      <c r="A22" s="28" t="inlineStr">
        <is>
          <t>EP-019</t>
        </is>
      </c>
      <c r="B22" s="28" t="inlineStr">
        <is>
          <t>Claims Service</t>
        </is>
      </c>
      <c r="C22" s="28" t="inlineStr">
        <is>
          <t>CLAIMS-SERVICE</t>
        </is>
      </c>
      <c r="D22" s="28" t="inlineStr">
        <is>
          <t>ClaimRouter</t>
        </is>
      </c>
      <c r="E22" s="29" t="inlineStr">
        <is>
          <t>GET</t>
        </is>
      </c>
      <c r="F22" s="28" t="inlineStr">
        <is>
          <t>/api/claims/review/manual/{claimId}</t>
        </is>
      </c>
      <c r="G22" s="28" t="inlineStr">
        <is>
          <t>-</t>
        </is>
      </c>
      <c r="H22" s="28" t="inlineStr">
        <is>
          <t>Secured</t>
        </is>
      </c>
      <c r="I22" s="28" t="inlineStr">
        <is>
          <t>CLAIMS_OFFICER, ADMIN</t>
        </is>
      </c>
      <c r="J22" s="28" t="inlineStr">
        <is>
          <t>JWT required (Bearer)</t>
        </is>
      </c>
      <c r="K22" s="28" t="inlineStr">
        <is>
          <t>ClaimHandler.getManualClaim()</t>
        </is>
      </c>
      <c r="L22" s="28" t="inlineStr">
        <is>
          <t>-</t>
        </is>
      </c>
      <c r="M22" s="28" t="inlineStr">
        <is>
          <t>One manual exception claim.</t>
        </is>
      </c>
      <c r="N22" s="28" t="inlineStr">
        <is>
          <t>DB read</t>
        </is>
      </c>
      <c r="O22" s="28" t="inlineStr">
        <is>
          <t>(not called by SPA)</t>
        </is>
      </c>
      <c r="P22" s="28" t="inlineStr">
        <is>
          <t>-</t>
        </is>
      </c>
    </row>
    <row r="23" ht="35" customHeight="1" s="20">
      <c r="A23" s="28" t="inlineStr">
        <is>
          <t>EP-020</t>
        </is>
      </c>
      <c r="B23" s="28" t="inlineStr">
        <is>
          <t>Claims Service</t>
        </is>
      </c>
      <c r="C23" s="28" t="inlineStr">
        <is>
          <t>CLAIMS-SERVICE</t>
        </is>
      </c>
      <c r="D23" s="28" t="inlineStr">
        <is>
          <t>ClaimRouter</t>
        </is>
      </c>
      <c r="E23" s="29" t="inlineStr">
        <is>
          <t>GET</t>
        </is>
      </c>
      <c r="F23" s="28" t="inlineStr">
        <is>
          <t>/api/claims/review/submitted</t>
        </is>
      </c>
      <c r="G23" s="28" t="inlineStr">
        <is>
          <t>-</t>
        </is>
      </c>
      <c r="H23" s="28" t="inlineStr">
        <is>
          <t>Secured</t>
        </is>
      </c>
      <c r="I23" s="28" t="inlineStr">
        <is>
          <t>CLAIMS_OFFICER, ADMIN</t>
        </is>
      </c>
      <c r="J23" s="28" t="inlineStr">
        <is>
          <t>JWT required (Bearer)</t>
        </is>
      </c>
      <c r="K23" s="28" t="inlineStr">
        <is>
          <t>ClaimHandler.getSubmittedClaims()</t>
        </is>
      </c>
      <c r="L23" s="28" t="inlineStr">
        <is>
          <t>ClaimService.getSubmittedClaims()</t>
        </is>
      </c>
      <c r="M23" s="28" t="inlineStr">
        <is>
          <t>Claims queue: SUBMITTED + UNDER_REVIEW claims.</t>
        </is>
      </c>
      <c r="N23" s="28" t="inlineStr">
        <is>
          <t>DB read</t>
        </is>
      </c>
      <c r="O23" s="28" t="inlineStr">
        <is>
          <t>ClaimService.getSubmittedClaims</t>
        </is>
      </c>
      <c r="P23" s="28" t="inlineStr">
        <is>
          <t>/claims-officer/claims, /claims-officer/dashboard</t>
        </is>
      </c>
    </row>
    <row r="24" ht="35" customHeight="1" s="20">
      <c r="A24" s="28" t="inlineStr">
        <is>
          <t>EP-021</t>
        </is>
      </c>
      <c r="B24" s="28" t="inlineStr">
        <is>
          <t>Claims Service</t>
        </is>
      </c>
      <c r="C24" s="28" t="inlineStr">
        <is>
          <t>CLAIMS-SERVICE</t>
        </is>
      </c>
      <c r="D24" s="28" t="inlineStr">
        <is>
          <t>ClaimRouter</t>
        </is>
      </c>
      <c r="E24" s="29" t="inlineStr">
        <is>
          <t>GET</t>
        </is>
      </c>
      <c r="F24" s="28" t="inlineStr">
        <is>
          <t>/api/claims/review/history</t>
        </is>
      </c>
      <c r="G24" s="28" t="inlineStr">
        <is>
          <t>-</t>
        </is>
      </c>
      <c r="H24" s="28" t="inlineStr">
        <is>
          <t>Secured</t>
        </is>
      </c>
      <c r="I24" s="28" t="inlineStr">
        <is>
          <t>CLAIMS_OFFICER, ADMIN</t>
        </is>
      </c>
      <c r="J24" s="28" t="inlineStr">
        <is>
          <t>JWT required (Bearer)</t>
        </is>
      </c>
      <c r="K24" s="28" t="inlineStr">
        <is>
          <t>ClaimHandler.getReviewHistory()</t>
        </is>
      </c>
      <c r="L24" s="28" t="inlineStr">
        <is>
          <t>ClaimService.getReviewHistory()</t>
        </is>
      </c>
      <c r="M24" s="28" t="inlineStr">
        <is>
          <t>Decisions made by the calling officer.</t>
        </is>
      </c>
      <c r="N24" s="28" t="inlineStr">
        <is>
          <t>DB read: claim_timeline, claims</t>
        </is>
      </c>
      <c r="O24" s="28" t="inlineStr">
        <is>
          <t>ClaimService.getReviewHistory</t>
        </is>
      </c>
      <c r="P24" s="28" t="inlineStr">
        <is>
          <t>/claims-officer/history</t>
        </is>
      </c>
    </row>
    <row r="25" ht="52.5" customHeight="1" s="20">
      <c r="A25" s="28" t="inlineStr">
        <is>
          <t>EP-022</t>
        </is>
      </c>
      <c r="B25" s="28" t="inlineStr">
        <is>
          <t>Claims Service</t>
        </is>
      </c>
      <c r="C25" s="28" t="inlineStr">
        <is>
          <t>CLAIMS-SERVICE</t>
        </is>
      </c>
      <c r="D25" s="28" t="inlineStr">
        <is>
          <t>ClaimRouter</t>
        </is>
      </c>
      <c r="E25" s="29" t="inlineStr">
        <is>
          <t>GET</t>
        </is>
      </c>
      <c r="F25" s="28" t="inlineStr">
        <is>
          <t>/api/claims/review/{claimId}</t>
        </is>
      </c>
      <c r="G25" s="28" t="inlineStr">
        <is>
          <t>-</t>
        </is>
      </c>
      <c r="H25" s="28" t="inlineStr">
        <is>
          <t>Secured</t>
        </is>
      </c>
      <c r="I25" s="28" t="inlineStr">
        <is>
          <t>CLAIMS_OFFICER, ADMIN</t>
        </is>
      </c>
      <c r="J25" s="28" t="inlineStr">
        <is>
          <t>JWT required (Bearer)</t>
        </is>
      </c>
      <c r="K25" s="28" t="inlineStr">
        <is>
          <t>ClaimHandler.getClaim()</t>
        </is>
      </c>
      <c r="L25" s="28" t="inlineStr">
        <is>
          <t>-</t>
        </is>
      </c>
      <c r="M25" s="28" t="inlineStr">
        <is>
          <t>Any claim for review.</t>
        </is>
      </c>
      <c r="N25" s="28" t="inlineStr">
        <is>
          <t>DB read</t>
        </is>
      </c>
      <c r="O25" s="28" t="inlineStr">
        <is>
          <t>ClaimService.getReviewClaim</t>
        </is>
      </c>
      <c r="P25" s="28" t="inlineStr">
        <is>
          <t>/claims-officer/claims/:claimId</t>
        </is>
      </c>
    </row>
    <row r="26" ht="35" customHeight="1" s="20">
      <c r="A26" s="28" t="inlineStr">
        <is>
          <t>EP-023</t>
        </is>
      </c>
      <c r="B26" s="28" t="inlineStr">
        <is>
          <t>Claims Service</t>
        </is>
      </c>
      <c r="C26" s="28" t="inlineStr">
        <is>
          <t>CLAIMS-SERVICE</t>
        </is>
      </c>
      <c r="D26" s="28" t="inlineStr">
        <is>
          <t>ClaimRouter</t>
        </is>
      </c>
      <c r="E26" s="29" t="inlineStr">
        <is>
          <t>GET</t>
        </is>
      </c>
      <c r="F26" s="28" t="inlineStr">
        <is>
          <t>/api/claims/me</t>
        </is>
      </c>
      <c r="G26" s="28" t="inlineStr">
        <is>
          <t>-</t>
        </is>
      </c>
      <c r="H26" s="28" t="inlineStr">
        <is>
          <t>Secured</t>
        </is>
      </c>
      <c r="I26" s="28" t="inlineStr">
        <is>
          <t>CUSTOMER</t>
        </is>
      </c>
      <c r="J26" s="28" t="inlineStr">
        <is>
          <t>JWT required (Bearer)</t>
        </is>
      </c>
      <c r="K26" s="28" t="inlineStr">
        <is>
          <t>ClaimHandler.getMyClaims()</t>
        </is>
      </c>
      <c r="L26" s="28" t="inlineStr">
        <is>
          <t>ClaimService.getMyClaims()</t>
        </is>
      </c>
      <c r="M26" s="28" t="inlineStr">
        <is>
          <t>My claims (optional status filter).</t>
        </is>
      </c>
      <c r="N26" s="28" t="inlineStr">
        <is>
          <t>DB read</t>
        </is>
      </c>
      <c r="O26" s="28" t="inlineStr">
        <is>
          <t>ClaimService.getMyClaims</t>
        </is>
      </c>
      <c r="P26" s="28" t="inlineStr">
        <is>
          <t>/customer/claims, /customer/dashboard</t>
        </is>
      </c>
    </row>
    <row r="27" ht="35" customHeight="1" s="20">
      <c r="A27" s="28" t="inlineStr">
        <is>
          <t>EP-024</t>
        </is>
      </c>
      <c r="B27" s="28" t="inlineStr">
        <is>
          <t>Claims Service</t>
        </is>
      </c>
      <c r="C27" s="28" t="inlineStr">
        <is>
          <t>CLAIMS-SERVICE</t>
        </is>
      </c>
      <c r="D27" s="28" t="inlineStr">
        <is>
          <t>ClaimRouter</t>
        </is>
      </c>
      <c r="E27" s="29" t="inlineStr">
        <is>
          <t>GET</t>
        </is>
      </c>
      <c r="F27" s="28" t="inlineStr">
        <is>
          <t>/api/claims/{claimId}</t>
        </is>
      </c>
      <c r="G27" s="28" t="inlineStr">
        <is>
          <t>-</t>
        </is>
      </c>
      <c r="H27" s="28" t="inlineStr">
        <is>
          <t>Secured</t>
        </is>
      </c>
      <c r="I27" s="28" t="inlineStr">
        <is>
          <t>CUSTOMER</t>
        </is>
      </c>
      <c r="J27" s="28" t="inlineStr">
        <is>
          <t>JWT required (Bearer)</t>
        </is>
      </c>
      <c r="K27" s="28" t="inlineStr">
        <is>
          <t>ClaimHandler.getMyClaim()</t>
        </is>
      </c>
      <c r="L27" s="28" t="inlineStr">
        <is>
          <t>ClaimService.getMyClaim()</t>
        </is>
      </c>
      <c r="M27" s="28" t="inlineStr">
        <is>
          <t>One of my claims.</t>
        </is>
      </c>
      <c r="N27" s="28" t="inlineStr">
        <is>
          <t>DB read</t>
        </is>
      </c>
      <c r="O27" s="28" t="inlineStr">
        <is>
          <t>ClaimService.getMyClaim</t>
        </is>
      </c>
      <c r="P27" s="28" t="inlineStr">
        <is>
          <t>/customer/claims, /customer/claims/:claimId</t>
        </is>
      </c>
    </row>
    <row r="28" ht="35" customHeight="1" s="20">
      <c r="A28" s="28" t="inlineStr">
        <is>
          <t>EP-025</t>
        </is>
      </c>
      <c r="B28" s="28" t="inlineStr">
        <is>
          <t>Claims Service</t>
        </is>
      </c>
      <c r="C28" s="28" t="inlineStr">
        <is>
          <t>CLAIMS-SERVICE</t>
        </is>
      </c>
      <c r="D28" s="28" t="inlineStr">
        <is>
          <t>ClaimRouter</t>
        </is>
      </c>
      <c r="E28" s="29" t="inlineStr">
        <is>
          <t>POST</t>
        </is>
      </c>
      <c r="F28" s="28" t="inlineStr">
        <is>
          <t>/api/claims</t>
        </is>
      </c>
      <c r="G28" s="28" t="inlineStr">
        <is>
          <t>-</t>
        </is>
      </c>
      <c r="H28" s="28" t="inlineStr">
        <is>
          <t>Secured</t>
        </is>
      </c>
      <c r="I28" s="28" t="inlineStr">
        <is>
          <t>CUSTOMER</t>
        </is>
      </c>
      <c r="J28" s="28" t="inlineStr">
        <is>
          <t>JWT required (Bearer)</t>
        </is>
      </c>
      <c r="K28" s="28" t="inlineStr">
        <is>
          <t>ClaimHandler.createClaim()</t>
        </is>
      </c>
      <c r="L28" s="28" t="inlineStr">
        <is>
          <t>ClaimService.createClaim()</t>
        </is>
      </c>
      <c r="M28" s="28" t="inlineStr">
        <is>
          <t>Customer files a manual claim (MANUAL_EXCEPTION): policy must be ACTIVE and owned, premium paid, customer confirms the loss and gives an evidence description; no duplicate manual claim for the same date. Flagged for manual review. Automatic claims are created by the trigger engine, not here.</t>
        </is>
      </c>
      <c r="N28" s="28" t="inlineStr">
        <is>
          <t>Product-Svc GET /internal/policies/{id} | Financial-Svc premium-paid check | DB: claims, claim_timeline | Notification-Svc POST /internal/notifications (MANUAL_CLAIM_SUBMITTED + pending review to officers)</t>
        </is>
      </c>
      <c r="O28" s="28" t="inlineStr">
        <is>
          <t>ClaimService.createClaim</t>
        </is>
      </c>
      <c r="P28" s="28" t="inlineStr">
        <is>
          <t>/customer/claims/new</t>
        </is>
      </c>
    </row>
    <row r="29" ht="35" customHeight="1" s="20">
      <c r="A29" s="28" t="inlineStr">
        <is>
          <t>EP-026</t>
        </is>
      </c>
      <c r="B29" s="28" t="inlineStr">
        <is>
          <t>Claims Service</t>
        </is>
      </c>
      <c r="C29" s="28" t="inlineStr">
        <is>
          <t>CLAIMS-SERVICE</t>
        </is>
      </c>
      <c r="D29" s="28" t="inlineStr">
        <is>
          <t>ClaimRouter</t>
        </is>
      </c>
      <c r="E29" s="29" t="inlineStr">
        <is>
          <t>PUT</t>
        </is>
      </c>
      <c r="F29" s="28" t="inlineStr">
        <is>
          <t>/api/claims/{claimId}/cancel</t>
        </is>
      </c>
      <c r="G29" s="28" t="inlineStr">
        <is>
          <t>-</t>
        </is>
      </c>
      <c r="H29" s="28" t="inlineStr">
        <is>
          <t>Secured</t>
        </is>
      </c>
      <c r="I29" s="28" t="inlineStr">
        <is>
          <t>CUSTOMER</t>
        </is>
      </c>
      <c r="J29" s="28" t="inlineStr">
        <is>
          <t>JWT required (Bearer)</t>
        </is>
      </c>
      <c r="K29" s="28" t="inlineStr">
        <is>
          <t>ClaimHandler.cancelClaim()</t>
        </is>
      </c>
      <c r="L29" s="28" t="inlineStr">
        <is>
          <t>ClaimService.cancelClaim()</t>
        </is>
      </c>
      <c r="M29" s="28" t="inlineStr">
        <is>
          <t>Cancel my SUBMITTED claim (SUBMITTED -&gt; CANCELLED).</t>
        </is>
      </c>
      <c r="N29" s="28" t="inlineStr">
        <is>
          <t>DB: claims, claim_timeline | Notification-Svc POST /internal/notifications (CLAIM_CANCELLED)</t>
        </is>
      </c>
      <c r="O29" s="28" t="inlineStr">
        <is>
          <t>ClaimService.cancelClaim</t>
        </is>
      </c>
      <c r="P29" s="28" t="inlineStr">
        <is>
          <t>/customer/claims, /customer/claims/:claimId</t>
        </is>
      </c>
    </row>
    <row r="30" ht="35" customHeight="1" s="20">
      <c r="A30" s="28" t="inlineStr">
        <is>
          <t>EP-027</t>
        </is>
      </c>
      <c r="B30" s="28" t="inlineStr">
        <is>
          <t>Claims Service</t>
        </is>
      </c>
      <c r="C30" s="28" t="inlineStr">
        <is>
          <t>CLAIMS-SERVICE</t>
        </is>
      </c>
      <c r="D30" s="28" t="inlineStr">
        <is>
          <t>ClaimRouter</t>
        </is>
      </c>
      <c r="E30" s="29" t="inlineStr">
        <is>
          <t>PUT</t>
        </is>
      </c>
      <c r="F30" s="28" t="inlineStr">
        <is>
          <t>/api/claims/{claimId}/start-review</t>
        </is>
      </c>
      <c r="G30" s="28" t="inlineStr">
        <is>
          <t>-</t>
        </is>
      </c>
      <c r="H30" s="28" t="inlineStr">
        <is>
          <t>Secured</t>
        </is>
      </c>
      <c r="I30" s="28" t="inlineStr">
        <is>
          <t>CLAIMS_OFFICER, ADMIN</t>
        </is>
      </c>
      <c r="J30" s="28" t="inlineStr">
        <is>
          <t>JWT required (Bearer)</t>
        </is>
      </c>
      <c r="K30" s="28" t="inlineStr">
        <is>
          <t>ClaimHandler.startReview()</t>
        </is>
      </c>
      <c r="L30" s="28" t="inlineStr">
        <is>
          <t>ClaimService.startReview()</t>
        </is>
      </c>
      <c r="M30" s="28" t="inlineStr">
        <is>
          <t>Pick up a claim (SUBMITTED -&gt; UNDER_REVIEW).</t>
        </is>
      </c>
      <c r="N30" s="28" t="inlineStr">
        <is>
          <t>DB: claims, claim_timeline | Notification-Svc POST /internal/notifications (CLAIM_UNDER_REVIEW)</t>
        </is>
      </c>
      <c r="O30" s="28" t="inlineStr">
        <is>
          <t>ClaimService.startReview</t>
        </is>
      </c>
      <c r="P30" s="28" t="inlineStr">
        <is>
          <t>/claims-officer/claims/:claimId</t>
        </is>
      </c>
    </row>
    <row r="31" ht="35" customHeight="1" s="20">
      <c r="A31" s="28" t="inlineStr">
        <is>
          <t>EP-028</t>
        </is>
      </c>
      <c r="B31" s="28" t="inlineStr">
        <is>
          <t>Claims Service</t>
        </is>
      </c>
      <c r="C31" s="28" t="inlineStr">
        <is>
          <t>CLAIMS-SERVICE</t>
        </is>
      </c>
      <c r="D31" s="28" t="inlineStr">
        <is>
          <t>ClaimRouter</t>
        </is>
      </c>
      <c r="E31" s="29" t="inlineStr">
        <is>
          <t>PUT</t>
        </is>
      </c>
      <c r="F31" s="28" t="inlineStr">
        <is>
          <t>/api/claims/{claimId}/approve</t>
        </is>
      </c>
      <c r="G31" s="28" t="inlineStr">
        <is>
          <t>-</t>
        </is>
      </c>
      <c r="H31" s="28" t="inlineStr">
        <is>
          <t>Secured</t>
        </is>
      </c>
      <c r="I31" s="28" t="inlineStr">
        <is>
          <t>CLAIMS_OFFICER, ADMIN</t>
        </is>
      </c>
      <c r="J31" s="28" t="inlineStr">
        <is>
          <t>JWT required (Bearer)</t>
        </is>
      </c>
      <c r="K31" s="28" t="inlineStr">
        <is>
          <t>ClaimHandler.approveClaim()</t>
        </is>
      </c>
      <c r="L31" s="28" t="inlineStr">
        <is>
          <t>ClaimService.approveClaim(), ClaimService.requestPayout()</t>
        </is>
      </c>
      <c r="M31" s="28" t="inlineStr">
        <is>
          <t>Approve (UNDER_REVIEW -&gt; APPROVED) with approvedAmount (&gt;0 and &lt;= claimedAmount). Financial-Svc then creates the payout and pays it at once; the claim becomes SETTLED.</t>
        </is>
      </c>
      <c r="N31" s="28" t="inlineStr">
        <is>
          <t>DB: claims, claim_timeline | Notification-Svc POST /internal/notifications (CLAIM_APPROVED) | Financial-Svc POST /internal/financial/payouts (payout paid immediately)</t>
        </is>
      </c>
      <c r="O31" s="28" t="inlineStr">
        <is>
          <t>ClaimService.approveClaim</t>
        </is>
      </c>
      <c r="P31" s="28" t="inlineStr">
        <is>
          <t>-</t>
        </is>
      </c>
    </row>
    <row r="32" ht="35" customHeight="1" s="20">
      <c r="A32" s="28" t="inlineStr">
        <is>
          <t>EP-029</t>
        </is>
      </c>
      <c r="B32" s="28" t="inlineStr">
        <is>
          <t>Claims Service</t>
        </is>
      </c>
      <c r="C32" s="28" t="inlineStr">
        <is>
          <t>CLAIMS-SERVICE</t>
        </is>
      </c>
      <c r="D32" s="28" t="inlineStr">
        <is>
          <t>ClaimRouter</t>
        </is>
      </c>
      <c r="E32" s="29" t="inlineStr">
        <is>
          <t>PUT</t>
        </is>
      </c>
      <c r="F32" s="28" t="inlineStr">
        <is>
          <t>/api/claims/{claimId}/reject</t>
        </is>
      </c>
      <c r="G32" s="28" t="inlineStr">
        <is>
          <t>-</t>
        </is>
      </c>
      <c r="H32" s="28" t="inlineStr">
        <is>
          <t>Secured</t>
        </is>
      </c>
      <c r="I32" s="28" t="inlineStr">
        <is>
          <t>CLAIMS_OFFICER, ADMIN</t>
        </is>
      </c>
      <c r="J32" s="28" t="inlineStr">
        <is>
          <t>JWT required (Bearer)</t>
        </is>
      </c>
      <c r="K32" s="28" t="inlineStr">
        <is>
          <t>ClaimHandler.rejectClaim()</t>
        </is>
      </c>
      <c r="L32" s="28" t="inlineStr">
        <is>
          <t>ClaimService.rejectClaim()</t>
        </is>
      </c>
      <c r="M32" s="28" t="inlineStr">
        <is>
          <t>Reject (UNDER_REVIEW -&gt; REJECTED) with reason.</t>
        </is>
      </c>
      <c r="N32" s="28" t="inlineStr">
        <is>
          <t>DB: claims, claim_timeline | Notification-Svc POST /internal/notifications (CLAIM_REJECTED)</t>
        </is>
      </c>
      <c r="O32" s="28" t="inlineStr">
        <is>
          <t>ClaimService.rejectClaim</t>
        </is>
      </c>
      <c r="P32" s="28" t="inlineStr">
        <is>
          <t>/claims-officer/claims/:claimId</t>
        </is>
      </c>
    </row>
    <row r="33" ht="35" customHeight="1" s="20">
      <c r="A33" s="28" t="inlineStr">
        <is>
          <t>EP-030</t>
        </is>
      </c>
      <c r="B33" s="28" t="inlineStr">
        <is>
          <t>Claims Service</t>
        </is>
      </c>
      <c r="C33" s="28" t="inlineStr">
        <is>
          <t>CLAIMS-SERVICE</t>
        </is>
      </c>
      <c r="D33" s="28" t="inlineStr">
        <is>
          <t>ClaimRouter</t>
        </is>
      </c>
      <c r="E33" s="29" t="inlineStr">
        <is>
          <t>PUT</t>
        </is>
      </c>
      <c r="F33" s="28" t="inlineStr">
        <is>
          <t>/api/claims/{claimId}/settle</t>
        </is>
      </c>
      <c r="G33" s="28" t="inlineStr">
        <is>
          <t>-</t>
        </is>
      </c>
      <c r="H33" s="28" t="inlineStr">
        <is>
          <t>Secured</t>
        </is>
      </c>
      <c r="I33" s="28" t="inlineStr">
        <is>
          <t>CLAIMS_OFFICER, ADMIN</t>
        </is>
      </c>
      <c r="J33" s="28" t="inlineStr">
        <is>
          <t>JWT required (Bearer)</t>
        </is>
      </c>
      <c r="K33" s="28" t="inlineStr">
        <is>
          <t>ClaimHandler.settleClaim()</t>
        </is>
      </c>
      <c r="L33" s="28" t="inlineStr">
        <is>
          <t>ClaimService.settleClaim()</t>
        </is>
      </c>
      <c r="M33" s="28" t="inlineStr">
        <is>
          <t>Settle (APPROVED -&gt; SETTLED) with optional notes.</t>
        </is>
      </c>
      <c r="N33" s="28" t="inlineStr">
        <is>
          <t>DB: claims, claim_timeline | Notification-Svc POST /internal/notifications (CLAIM_SETTLED)</t>
        </is>
      </c>
      <c r="O33" s="28" t="inlineStr">
        <is>
          <t>ClaimService.settleClaim</t>
        </is>
      </c>
      <c r="P33" s="28" t="inlineStr">
        <is>
          <t>-</t>
        </is>
      </c>
    </row>
    <row r="34" ht="35" customHeight="1" s="20">
      <c r="A34" s="28" t="inlineStr">
        <is>
          <t>EP-031</t>
        </is>
      </c>
      <c r="B34" s="28" t="inlineStr">
        <is>
          <t>Claims Service</t>
        </is>
      </c>
      <c r="C34" s="28" t="inlineStr">
        <is>
          <t>CLAIMS-SERVICE</t>
        </is>
      </c>
      <c r="D34" s="28" t="inlineStr">
        <is>
          <t>ClaimRouter</t>
        </is>
      </c>
      <c r="E34" s="29" t="inlineStr">
        <is>
          <t>GET</t>
        </is>
      </c>
      <c r="F34" s="28" t="inlineStr">
        <is>
          <t>/api/claims/{claimId}/timeline</t>
        </is>
      </c>
      <c r="G34" s="28" t="inlineStr">
        <is>
          <t>-</t>
        </is>
      </c>
      <c r="H34" s="28" t="inlineStr">
        <is>
          <t>Secured</t>
        </is>
      </c>
      <c r="I34" s="28" t="inlineStr">
        <is>
          <t>CUSTOMER</t>
        </is>
      </c>
      <c r="J34" s="28" t="inlineStr">
        <is>
          <t>JWT required (Bearer)</t>
        </is>
      </c>
      <c r="K34" s="28" t="inlineStr">
        <is>
          <t>ClaimHandler.getMyClaimTimeline()</t>
        </is>
      </c>
      <c r="L34" s="28" t="inlineStr">
        <is>
          <t>ClaimService.getClaimTimeline()</t>
        </is>
      </c>
      <c r="M34" s="28" t="inlineStr">
        <is>
          <t>Timeline of status changes on my claim.</t>
        </is>
      </c>
      <c r="N34" s="28" t="inlineStr">
        <is>
          <t>DB read: claim_timeline</t>
        </is>
      </c>
      <c r="O34" s="28" t="inlineStr">
        <is>
          <t>ClaimService.getMyClaimTimeline</t>
        </is>
      </c>
      <c r="P34" s="28" t="inlineStr">
        <is>
          <t>/customer/claims/:claimId</t>
        </is>
      </c>
    </row>
    <row r="35" ht="35" customHeight="1" s="20">
      <c r="A35" s="28" t="inlineStr">
        <is>
          <t>EP-032</t>
        </is>
      </c>
      <c r="B35" s="28" t="inlineStr">
        <is>
          <t>Claims Service</t>
        </is>
      </c>
      <c r="C35" s="28" t="inlineStr">
        <is>
          <t>CLAIMS-SERVICE</t>
        </is>
      </c>
      <c r="D35" s="28" t="inlineStr">
        <is>
          <t>ClaimRouter</t>
        </is>
      </c>
      <c r="E35" s="29" t="inlineStr">
        <is>
          <t>GET</t>
        </is>
      </c>
      <c r="F35" s="28" t="inlineStr">
        <is>
          <t>/api/claims/admin/{claimId}/timeline</t>
        </is>
      </c>
      <c r="G35" s="28" t="inlineStr">
        <is>
          <t>-</t>
        </is>
      </c>
      <c r="H35" s="28" t="inlineStr">
        <is>
          <t>Secured</t>
        </is>
      </c>
      <c r="I35" s="28" t="inlineStr">
        <is>
          <t>ADMIN</t>
        </is>
      </c>
      <c r="J35" s="28" t="inlineStr">
        <is>
          <t>JWT required (Bearer)</t>
        </is>
      </c>
      <c r="K35" s="28" t="inlineStr">
        <is>
          <t>ClaimHandler.getClaimTimeline()</t>
        </is>
      </c>
      <c r="L35" s="28" t="inlineStr">
        <is>
          <t>ClaimService.getClaimTimelineAdmin()</t>
        </is>
      </c>
      <c r="M35" s="28" t="inlineStr">
        <is>
          <t>Timeline of any claim.</t>
        </is>
      </c>
      <c r="N35" s="28" t="inlineStr">
        <is>
          <t>DB read</t>
        </is>
      </c>
      <c r="O35" s="28" t="inlineStr">
        <is>
          <t>ClaimService.getAdminClaimTimeline</t>
        </is>
      </c>
      <c r="P35" s="28" t="inlineStr">
        <is>
          <t>/admin/claims/:claimId</t>
        </is>
      </c>
    </row>
    <row r="36" ht="122.5" customHeight="1" s="20">
      <c r="A36" s="28" t="inlineStr">
        <is>
          <t>EP-033</t>
        </is>
      </c>
      <c r="B36" s="28" t="inlineStr">
        <is>
          <t>Claims Service</t>
        </is>
      </c>
      <c r="C36" s="28" t="inlineStr">
        <is>
          <t>CLAIMS-SERVICE</t>
        </is>
      </c>
      <c r="D36" s="28" t="inlineStr">
        <is>
          <t>ClaimRouter</t>
        </is>
      </c>
      <c r="E36" s="29" t="inlineStr">
        <is>
          <t>GET</t>
        </is>
      </c>
      <c r="F36" s="28" t="inlineStr">
        <is>
          <t>/internal/claims/{claimId}</t>
        </is>
      </c>
      <c r="G36" s="28" t="inlineStr">
        <is>
          <t>-</t>
        </is>
      </c>
      <c r="H36" s="28" t="inlineStr">
        <is>
          <t>Internal</t>
        </is>
      </c>
      <c r="I36" s="28" t="inlineStr">
        <is>
          <t>INTERNAL</t>
        </is>
      </c>
      <c r="J36" s="28" t="inlineStr">
        <is>
          <t>Not routed by gateway - service-to-service only via Eureka (lb://) with X-Gateway-Key</t>
        </is>
      </c>
      <c r="K36" s="28" t="inlineStr">
        <is>
          <t>ClaimHandler.getInternalClaim()</t>
        </is>
      </c>
      <c r="L36" s="28" t="inlineStr">
        <is>
          <t>-</t>
        </is>
      </c>
      <c r="M36" s="28" t="inlineStr">
        <is>
          <t>Claim summary (status, approvedAmount, customer, policy, triggerEventId) for Financial-Svc payout creation.</t>
        </is>
      </c>
      <c r="N36" s="28" t="inlineStr">
        <is>
          <t>DB read</t>
        </is>
      </c>
      <c r="O36" s="28" t="inlineStr">
        <is>
          <t>(service-to-service)</t>
        </is>
      </c>
      <c r="P36" s="28" t="inlineStr">
        <is>
          <t>-</t>
        </is>
      </c>
    </row>
    <row r="37" ht="52.5" customHeight="1" s="20">
      <c r="A37" s="28" t="inlineStr">
        <is>
          <t>EP-034</t>
        </is>
      </c>
      <c r="B37" s="28" t="inlineStr">
        <is>
          <t>Claims Service</t>
        </is>
      </c>
      <c r="C37" s="28" t="inlineStr">
        <is>
          <t>CLAIMS-SERVICE</t>
        </is>
      </c>
      <c r="D37" s="28" t="inlineStr">
        <is>
          <t>ClaimRouter</t>
        </is>
      </c>
      <c r="E37" s="29" t="inlineStr">
        <is>
          <t>POST</t>
        </is>
      </c>
      <c r="F37" s="28" t="inlineStr">
        <is>
          <t>/internal/claims/from-trigger-event</t>
        </is>
      </c>
      <c r="G37" s="28" t="inlineStr">
        <is>
          <t>-</t>
        </is>
      </c>
      <c r="H37" s="28" t="inlineStr">
        <is>
          <t>Internal</t>
        </is>
      </c>
      <c r="I37" s="28" t="inlineStr">
        <is>
          <t>INTERNAL</t>
        </is>
      </c>
      <c r="J37" s="28" t="inlineStr">
        <is>
          <t>Not routed by gateway - service-to-service only via Eureka (lb://) with X-Gateway-Key</t>
        </is>
      </c>
      <c r="K37" s="28" t="inlineStr">
        <is>
          <t>ClaimHandler.createClaimsFromTriggerEvent()</t>
        </is>
      </c>
      <c r="L37" s="28" t="inlineStr">
        <is>
          <t>-</t>
        </is>
      </c>
      <c r="M37" s="28" t="inlineStr">
        <is>
          <t>Bulk-create AUTO_TRIGGERED claims (status SUBMITTED, claimedAmount = sum insured) for each matched policy of a trigger event; idempotent per (policyId, triggerEventId). Returns CREATED / EXISTING / FAILED per policy.</t>
        </is>
      </c>
      <c r="N37" s="28" t="inlineStr">
        <is>
          <t>DB: claims, claim_timeline | Notification-Svc POST /internal/notifications (CLAIM_SUBMITTED to customer + pending-review to officers)</t>
        </is>
      </c>
      <c r="O37" s="28" t="inlineStr">
        <is>
          <t>(service-to-service)</t>
        </is>
      </c>
      <c r="P37" s="28" t="inlineStr">
        <is>
          <t>-</t>
        </is>
      </c>
    </row>
    <row r="38" ht="52.5" customHeight="1" s="20">
      <c r="A38" s="28" t="inlineStr">
        <is>
          <t>EP-035</t>
        </is>
      </c>
      <c r="B38" s="28" t="inlineStr">
        <is>
          <t>Claims Service</t>
        </is>
      </c>
      <c r="C38" s="28" t="inlineStr">
        <is>
          <t>CLAIMS-SERVICE</t>
        </is>
      </c>
      <c r="D38" s="28" t="inlineStr">
        <is>
          <t>ClaimRouter</t>
        </is>
      </c>
      <c r="E38" s="29" t="inlineStr">
        <is>
          <t>PUT</t>
        </is>
      </c>
      <c r="F38" s="28" t="inlineStr">
        <is>
          <t>/internal/claims/{claimId}/settle</t>
        </is>
      </c>
      <c r="G38" s="28" t="inlineStr">
        <is>
          <t>-</t>
        </is>
      </c>
      <c r="H38" s="28" t="inlineStr">
        <is>
          <t>Internal</t>
        </is>
      </c>
      <c r="I38" s="28" t="inlineStr">
        <is>
          <t>INTERNAL</t>
        </is>
      </c>
      <c r="J38" s="28" t="inlineStr">
        <is>
          <t>Not routed by gateway - service-to-service only via Eureka (lb://) with X-Gateway-Key</t>
        </is>
      </c>
      <c r="K38" s="28" t="inlineStr">
        <is>
          <t>ClaimHandler.settleInternal()</t>
        </is>
      </c>
      <c r="L38" s="28" t="inlineStr">
        <is>
          <t>ClaimService.settleFromPayout()</t>
        </is>
      </c>
      <c r="M38" s="28" t="inlineStr">
        <is>
          <t>Settle an APPROVED claim once its payout succeeded (payoutReference as query parameter).</t>
        </is>
      </c>
      <c r="N38" s="28" t="inlineStr">
        <is>
          <t>DB: claims, claim_timeline | Notification-Svc POST /internal/notifications (CLAIM_SETTLED)</t>
        </is>
      </c>
      <c r="O38" s="28" t="inlineStr">
        <is>
          <t>(service-to-service)</t>
        </is>
      </c>
      <c r="P38" s="28" t="inlineStr">
        <is>
          <t>-</t>
        </is>
      </c>
    </row>
    <row r="39" ht="87.5" customHeight="1" s="20">
      <c r="A39" s="28" t="inlineStr">
        <is>
          <t>EP-036</t>
        </is>
      </c>
      <c r="B39" s="28" t="inlineStr">
        <is>
          <t>Financial Service</t>
        </is>
      </c>
      <c r="C39" s="28" t="inlineStr">
        <is>
          <t>FINANCIAL-SERVICE</t>
        </is>
      </c>
      <c r="D39" s="28" t="inlineStr">
        <is>
          <t>FinancialRouter</t>
        </is>
      </c>
      <c r="E39" s="29" t="inlineStr">
        <is>
          <t>POST</t>
        </is>
      </c>
      <c r="F39" s="28" t="inlineStr">
        <is>
          <t>/api/financial/pricing-rules</t>
        </is>
      </c>
      <c r="G39" s="28" t="inlineStr">
        <is>
          <t>application/json</t>
        </is>
      </c>
      <c r="H39" s="28" t="inlineStr">
        <is>
          <t>Secured</t>
        </is>
      </c>
      <c r="I39" s="28" t="inlineStr">
        <is>
          <t>ADMIN</t>
        </is>
      </c>
      <c r="J39" s="28" t="inlineStr">
        <is>
          <t>JWT required (Bearer)</t>
        </is>
      </c>
      <c r="K39" s="28" t="inlineStr">
        <is>
          <t>PricingRuleHandler.create()</t>
        </is>
      </c>
      <c r="L39" s="28" t="inlineStr">
        <is>
          <t>-</t>
        </is>
      </c>
      <c r="M39" s="28" t="inlineStr">
        <is>
          <t>Create a pricing rule for product (+ optional zone): base annual rate, term factor, location factor, minimum premium, validity.</t>
        </is>
      </c>
      <c r="N39" s="28" t="inlineStr">
        <is>
          <t>Product-Svc GET /internal/products/{id} (must be ACTIVE) | Trigger-Svc GET /internal/triggers/zones/{zoneId} (must be ACTIVE) | DB: pricing_rules | Notification-Svc POST /internal/notifications (PRICING_RULE_CREATED)</t>
        </is>
      </c>
      <c r="O39" s="28" t="inlineStr">
        <is>
          <t>PricingRuleService.createRule</t>
        </is>
      </c>
      <c r="P39" s="28" t="inlineStr">
        <is>
          <t>/admin/pricing-rules</t>
        </is>
      </c>
    </row>
    <row r="40" ht="52.5" customHeight="1" s="20">
      <c r="A40" s="28" t="inlineStr">
        <is>
          <t>EP-037</t>
        </is>
      </c>
      <c r="B40" s="28" t="inlineStr">
        <is>
          <t>Financial Service</t>
        </is>
      </c>
      <c r="C40" s="28" t="inlineStr">
        <is>
          <t>FINANCIAL-SERVICE</t>
        </is>
      </c>
      <c r="D40" s="28" t="inlineStr">
        <is>
          <t>FinancialRouter</t>
        </is>
      </c>
      <c r="E40" s="29" t="inlineStr">
        <is>
          <t>GET</t>
        </is>
      </c>
      <c r="F40" s="28" t="inlineStr">
        <is>
          <t>/api/financial/pricing-rules</t>
        </is>
      </c>
      <c r="G40" s="28" t="inlineStr">
        <is>
          <t>-</t>
        </is>
      </c>
      <c r="H40" s="28" t="inlineStr">
        <is>
          <t>Secured</t>
        </is>
      </c>
      <c r="I40" s="28" t="inlineStr">
        <is>
          <t>ADMIN</t>
        </is>
      </c>
      <c r="J40" s="28" t="inlineStr">
        <is>
          <t>JWT required (Bearer)</t>
        </is>
      </c>
      <c r="K40" s="28" t="inlineStr">
        <is>
          <t>PricingRuleHandler.findAll()</t>
        </is>
      </c>
      <c r="L40" s="28" t="inlineStr">
        <is>
          <t>PricingRuleService.findAll()</t>
        </is>
      </c>
      <c r="M40" s="28" t="inlineStr">
        <is>
          <t>List all pricing rules.</t>
        </is>
      </c>
      <c r="N40" s="28" t="inlineStr">
        <is>
          <t>DB read</t>
        </is>
      </c>
      <c r="O40" s="28" t="inlineStr">
        <is>
          <t>PricingRuleService.getAllRules</t>
        </is>
      </c>
      <c r="P40" s="28" t="inlineStr">
        <is>
          <t>/admin/pricing-rules</t>
        </is>
      </c>
    </row>
    <row r="41" ht="52.5" customHeight="1" s="20">
      <c r="A41" s="28" t="inlineStr">
        <is>
          <t>EP-038</t>
        </is>
      </c>
      <c r="B41" s="28" t="inlineStr">
        <is>
          <t>Financial Service</t>
        </is>
      </c>
      <c r="C41" s="28" t="inlineStr">
        <is>
          <t>FINANCIAL-SERVICE</t>
        </is>
      </c>
      <c r="D41" s="28" t="inlineStr">
        <is>
          <t>FinancialRouter</t>
        </is>
      </c>
      <c r="E41" s="29" t="inlineStr">
        <is>
          <t>GET</t>
        </is>
      </c>
      <c r="F41" s="28" t="inlineStr">
        <is>
          <t>/api/financial/pricing-rules/{ruleId}</t>
        </is>
      </c>
      <c r="G41" s="28" t="inlineStr">
        <is>
          <t>-</t>
        </is>
      </c>
      <c r="H41" s="28" t="inlineStr">
        <is>
          <t>Secured</t>
        </is>
      </c>
      <c r="I41" s="28" t="inlineStr">
        <is>
          <t>ADMIN</t>
        </is>
      </c>
      <c r="J41" s="28" t="inlineStr">
        <is>
          <t>JWT required (Bearer)</t>
        </is>
      </c>
      <c r="K41" s="28" t="inlineStr">
        <is>
          <t>PricingRuleHandler.findById()</t>
        </is>
      </c>
      <c r="L41" s="28" t="inlineStr">
        <is>
          <t>PricingRuleService.findById()</t>
        </is>
      </c>
      <c r="M41" s="28" t="inlineStr">
        <is>
          <t>Get a pricing rule.</t>
        </is>
      </c>
      <c r="N41" s="28" t="inlineStr">
        <is>
          <t>DB read</t>
        </is>
      </c>
      <c r="O41" s="28" t="inlineStr">
        <is>
          <t>PricingRuleService.getRule</t>
        </is>
      </c>
      <c r="P41" s="28" t="inlineStr">
        <is>
          <t>-</t>
        </is>
      </c>
    </row>
    <row r="42" ht="35" customHeight="1" s="20">
      <c r="A42" s="28" t="inlineStr">
        <is>
          <t>EP-039</t>
        </is>
      </c>
      <c r="B42" s="28" t="inlineStr">
        <is>
          <t>Financial Service</t>
        </is>
      </c>
      <c r="C42" s="28" t="inlineStr">
        <is>
          <t>FINANCIAL-SERVICE</t>
        </is>
      </c>
      <c r="D42" s="28" t="inlineStr">
        <is>
          <t>FinancialRouter</t>
        </is>
      </c>
      <c r="E42" s="29" t="inlineStr">
        <is>
          <t>PUT</t>
        </is>
      </c>
      <c r="F42" s="28" t="inlineStr">
        <is>
          <t>/api/financial/pricing-rules/{ruleId}</t>
        </is>
      </c>
      <c r="G42" s="28" t="inlineStr">
        <is>
          <t>application/json</t>
        </is>
      </c>
      <c r="H42" s="28" t="inlineStr">
        <is>
          <t>Secured</t>
        </is>
      </c>
      <c r="I42" s="28" t="inlineStr">
        <is>
          <t>ADMIN</t>
        </is>
      </c>
      <c r="J42" s="28" t="inlineStr">
        <is>
          <t>JWT required (Bearer)</t>
        </is>
      </c>
      <c r="K42" s="28" t="inlineStr">
        <is>
          <t>PricingRuleHandler.update()</t>
        </is>
      </c>
      <c r="L42" s="28" t="inlineStr">
        <is>
          <t>PricingRuleService.update()</t>
        </is>
      </c>
      <c r="M42" s="28" t="inlineStr">
        <is>
          <t>Update a pricing rule (re-validates product and zone).</t>
        </is>
      </c>
      <c r="N42" s="28" t="inlineStr">
        <is>
          <t>Product-Svc / Trigger-Svc validation | DB | Notification-Svc POST /internal/notifications (PRICING_RULE_UPDATED)</t>
        </is>
      </c>
      <c r="O42" s="28" t="inlineStr">
        <is>
          <t>PricingRuleService.updateRule</t>
        </is>
      </c>
      <c r="P42" s="28" t="inlineStr">
        <is>
          <t>/admin/pricing-rules</t>
        </is>
      </c>
    </row>
    <row r="43" ht="35" customHeight="1" s="20">
      <c r="A43" s="28" t="inlineStr">
        <is>
          <t>EP-040</t>
        </is>
      </c>
      <c r="B43" s="28" t="inlineStr">
        <is>
          <t>Financial Service</t>
        </is>
      </c>
      <c r="C43" s="28" t="inlineStr">
        <is>
          <t>FINANCIAL-SERVICE</t>
        </is>
      </c>
      <c r="D43" s="28" t="inlineStr">
        <is>
          <t>FinancialRouter</t>
        </is>
      </c>
      <c r="E43" s="29" t="inlineStr">
        <is>
          <t>PUT</t>
        </is>
      </c>
      <c r="F43" s="28" t="inlineStr">
        <is>
          <t>/api/financial/pricing-rules/{ruleId}/status</t>
        </is>
      </c>
      <c r="G43" s="28" t="inlineStr">
        <is>
          <t>application/json</t>
        </is>
      </c>
      <c r="H43" s="28" t="inlineStr">
        <is>
          <t>Secured</t>
        </is>
      </c>
      <c r="I43" s="28" t="inlineStr">
        <is>
          <t>ADMIN</t>
        </is>
      </c>
      <c r="J43" s="28" t="inlineStr">
        <is>
          <t>JWT required (Bearer)</t>
        </is>
      </c>
      <c r="K43" s="28" t="inlineStr">
        <is>
          <t>PricingRuleHandler.updateStatus()</t>
        </is>
      </c>
      <c r="L43" s="28" t="inlineStr">
        <is>
          <t>PricingRuleService.updateStatus()</t>
        </is>
      </c>
      <c r="M43" s="28" t="inlineStr">
        <is>
          <t>Change rule status (DRAFT / ACTIVE / INACTIVE / ARCHIVED).</t>
        </is>
      </c>
      <c r="N43" s="28" t="inlineStr">
        <is>
          <t>Product-Svc GET /internal/products/{id} when activating | DB</t>
        </is>
      </c>
      <c r="O43" s="28" t="inlineStr">
        <is>
          <t>PricingRuleService.updateStatus</t>
        </is>
      </c>
      <c r="P43" s="28" t="inlineStr">
        <is>
          <t>/admin/pricing-rules</t>
        </is>
      </c>
    </row>
    <row r="44" ht="70" customHeight="1" s="20">
      <c r="A44" s="28" t="inlineStr">
        <is>
          <t>EP-041</t>
        </is>
      </c>
      <c r="B44" s="28" t="inlineStr">
        <is>
          <t>Financial Service</t>
        </is>
      </c>
      <c r="C44" s="28" t="inlineStr">
        <is>
          <t>FINANCIAL-SERVICE</t>
        </is>
      </c>
      <c r="D44" s="28" t="inlineStr">
        <is>
          <t>FinancialRouter</t>
        </is>
      </c>
      <c r="E44" s="29" t="inlineStr">
        <is>
          <t>DELETE</t>
        </is>
      </c>
      <c r="F44" s="28" t="inlineStr">
        <is>
          <t>/api/financial/pricing-rules/{ruleId}</t>
        </is>
      </c>
      <c r="G44" s="28" t="inlineStr">
        <is>
          <t>-</t>
        </is>
      </c>
      <c r="H44" s="28" t="inlineStr">
        <is>
          <t>Secured</t>
        </is>
      </c>
      <c r="I44" s="28" t="inlineStr">
        <is>
          <t>ADMIN</t>
        </is>
      </c>
      <c r="J44" s="28" t="inlineStr">
        <is>
          <t>JWT required (Bearer)</t>
        </is>
      </c>
      <c r="K44" s="28" t="inlineStr">
        <is>
          <t>PricingRuleHandler.archive()</t>
        </is>
      </c>
      <c r="L44" s="28" t="inlineStr">
        <is>
          <t>PricingRuleService.archive()</t>
        </is>
      </c>
      <c r="M44" s="28" t="inlineStr">
        <is>
          <t>Archive a pricing rule.</t>
        </is>
      </c>
      <c r="N44" s="28" t="inlineStr">
        <is>
          <t>DB</t>
        </is>
      </c>
      <c r="O44" s="28" t="inlineStr">
        <is>
          <t>PricingRuleService.archiveRule</t>
        </is>
      </c>
      <c r="P44" s="28" t="inlineStr">
        <is>
          <t>/admin/pricing-rules</t>
        </is>
      </c>
    </row>
    <row r="45" ht="70" customHeight="1" s="20">
      <c r="A45" s="28" t="inlineStr">
        <is>
          <t>EP-042</t>
        </is>
      </c>
      <c r="B45" s="28" t="inlineStr">
        <is>
          <t>Financial Service</t>
        </is>
      </c>
      <c r="C45" s="28" t="inlineStr">
        <is>
          <t>FINANCIAL-SERVICE</t>
        </is>
      </c>
      <c r="D45" s="28" t="inlineStr">
        <is>
          <t>FinancialRouter</t>
        </is>
      </c>
      <c r="E45" s="29" t="inlineStr">
        <is>
          <t>POST</t>
        </is>
      </c>
      <c r="F45" s="28" t="inlineStr">
        <is>
          <t>/api/financial/quotes</t>
        </is>
      </c>
      <c r="G45" s="28" t="inlineStr">
        <is>
          <t>application/json</t>
        </is>
      </c>
      <c r="H45" s="28" t="inlineStr">
        <is>
          <t>Secured</t>
        </is>
      </c>
      <c r="I45" s="28" t="inlineStr">
        <is>
          <t>CUSTOMER</t>
        </is>
      </c>
      <c r="J45" s="28" t="inlineStr">
        <is>
          <t>JWT required (Bearer)</t>
        </is>
      </c>
      <c r="K45" s="28" t="inlineStr">
        <is>
          <t>QuoteHandler.create()</t>
        </is>
      </c>
      <c r="L45" s="28" t="inlineStr">
        <is>
          <t>-</t>
        </is>
      </c>
      <c r="M45" s="28" t="inlineStr">
        <is>
          <t>Get a quote: validates product limits and zone, finds applicable ACTIVE pricing rule. Premium = max(sumInsured x annualRate x (term/12) x termFactor x locationFactor, minimumPremium). Quote expires in 7 days.</t>
        </is>
      </c>
      <c r="N45" s="28" t="inlineStr">
        <is>
          <t>Product-Svc GET /internal/products/{id} | Trigger-Svc GET /internal/triggers/zones/{zoneId} | DB: quotes | Notification-Svc POST /internal/notifications (QUOTE_CREATED)</t>
        </is>
      </c>
      <c r="O45" s="28" t="inlineStr">
        <is>
          <t>QuoteService.createQuote</t>
        </is>
      </c>
      <c r="P45" s="28" t="inlineStr">
        <is>
          <t>/customer/quotes</t>
        </is>
      </c>
    </row>
    <row r="46" ht="87.5" customHeight="1" s="20">
      <c r="A46" s="28" t="inlineStr">
        <is>
          <t>EP-043</t>
        </is>
      </c>
      <c r="B46" s="28" t="inlineStr">
        <is>
          <t>Financial Service</t>
        </is>
      </c>
      <c r="C46" s="28" t="inlineStr">
        <is>
          <t>FINANCIAL-SERVICE</t>
        </is>
      </c>
      <c r="D46" s="28" t="inlineStr">
        <is>
          <t>FinancialRouter</t>
        </is>
      </c>
      <c r="E46" s="29" t="inlineStr">
        <is>
          <t>GET</t>
        </is>
      </c>
      <c r="F46" s="28" t="inlineStr">
        <is>
          <t>/api/financial/quotes/me</t>
        </is>
      </c>
      <c r="G46" s="28" t="inlineStr">
        <is>
          <t>-</t>
        </is>
      </c>
      <c r="H46" s="28" t="inlineStr">
        <is>
          <t>Secured</t>
        </is>
      </c>
      <c r="I46" s="28" t="inlineStr">
        <is>
          <t>CUSTOMER</t>
        </is>
      </c>
      <c r="J46" s="28" t="inlineStr">
        <is>
          <t>JWT required (Bearer)</t>
        </is>
      </c>
      <c r="K46" s="28" t="inlineStr">
        <is>
          <t>QuoteHandler.findMine()</t>
        </is>
      </c>
      <c r="L46" s="28" t="inlineStr">
        <is>
          <t>QuoteService.findMine()</t>
        </is>
      </c>
      <c r="M46" s="28" t="inlineStr">
        <is>
          <t>My quotes (auto-expires stale ones).</t>
        </is>
      </c>
      <c r="N46" s="28" t="inlineStr">
        <is>
          <t>DB read</t>
        </is>
      </c>
      <c r="O46" s="28" t="inlineStr">
        <is>
          <t>QuoteService.getMyQuotes</t>
        </is>
      </c>
      <c r="P46" s="28" t="inlineStr">
        <is>
          <t>/customer/quotes</t>
        </is>
      </c>
    </row>
    <row r="47" ht="87.5" customHeight="1" s="20">
      <c r="A47" s="28" t="inlineStr">
        <is>
          <t>EP-044</t>
        </is>
      </c>
      <c r="B47" s="28" t="inlineStr">
        <is>
          <t>Financial Service</t>
        </is>
      </c>
      <c r="C47" s="28" t="inlineStr">
        <is>
          <t>FINANCIAL-SERVICE</t>
        </is>
      </c>
      <c r="D47" s="28" t="inlineStr">
        <is>
          <t>FinancialRouter</t>
        </is>
      </c>
      <c r="E47" s="29" t="inlineStr">
        <is>
          <t>GET</t>
        </is>
      </c>
      <c r="F47" s="28" t="inlineStr">
        <is>
          <t>/api/financial/quotes/{quoteId}</t>
        </is>
      </c>
      <c r="G47" s="28" t="inlineStr">
        <is>
          <t>-</t>
        </is>
      </c>
      <c r="H47" s="28" t="inlineStr">
        <is>
          <t>Secured</t>
        </is>
      </c>
      <c r="I47" s="28" t="inlineStr">
        <is>
          <t>CUSTOMER</t>
        </is>
      </c>
      <c r="J47" s="28" t="inlineStr">
        <is>
          <t>JWT required (Bearer)</t>
        </is>
      </c>
      <c r="K47" s="28" t="inlineStr">
        <is>
          <t>QuoteHandler.findById()</t>
        </is>
      </c>
      <c r="L47" s="28" t="inlineStr">
        <is>
          <t>QuoteService.findMine()</t>
        </is>
      </c>
      <c r="M47" s="28" t="inlineStr">
        <is>
          <t>One of my quotes.</t>
        </is>
      </c>
      <c r="N47" s="28" t="inlineStr">
        <is>
          <t>DB read</t>
        </is>
      </c>
      <c r="O47" s="28" t="inlineStr">
        <is>
          <t>QuoteService.getQuote</t>
        </is>
      </c>
      <c r="P47" s="28" t="inlineStr">
        <is>
          <t>/customer/policies/new</t>
        </is>
      </c>
    </row>
    <row r="48" ht="35" customHeight="1" s="20">
      <c r="A48" s="28" t="inlineStr">
        <is>
          <t>EP-045</t>
        </is>
      </c>
      <c r="B48" s="28" t="inlineStr">
        <is>
          <t>Financial Service</t>
        </is>
      </c>
      <c r="C48" s="28" t="inlineStr">
        <is>
          <t>FINANCIAL-SERVICE</t>
        </is>
      </c>
      <c r="D48" s="28" t="inlineStr">
        <is>
          <t>FinancialRouter</t>
        </is>
      </c>
      <c r="E48" s="29" t="inlineStr">
        <is>
          <t>PUT</t>
        </is>
      </c>
      <c r="F48" s="28" t="inlineStr">
        <is>
          <t>/api/financial/quotes/{quoteId}/accept</t>
        </is>
      </c>
      <c r="G48" s="28" t="inlineStr">
        <is>
          <t>-</t>
        </is>
      </c>
      <c r="H48" s="28" t="inlineStr">
        <is>
          <t>Secured</t>
        </is>
      </c>
      <c r="I48" s="28" t="inlineStr">
        <is>
          <t>CUSTOMER</t>
        </is>
      </c>
      <c r="J48" s="28" t="inlineStr">
        <is>
          <t>JWT required (Bearer)</t>
        </is>
      </c>
      <c r="K48" s="28" t="inlineStr">
        <is>
          <t>QuoteHandler.accept()</t>
        </is>
      </c>
      <c r="L48" s="28" t="inlineStr">
        <is>
          <t>QuoteService.accept()</t>
        </is>
      </c>
      <c r="M48" s="28" t="inlineStr">
        <is>
          <t>Accept a CREATED quote (-&gt; ACCEPTED). Rejected if CONSUMED / EXPIRED / CANCELLED.</t>
        </is>
      </c>
      <c r="N48" s="28" t="inlineStr">
        <is>
          <t>DB: quotes</t>
        </is>
      </c>
      <c r="O48" s="28" t="inlineStr">
        <is>
          <t>QuoteService.acceptQuote</t>
        </is>
      </c>
      <c r="P48" s="28" t="inlineStr">
        <is>
          <t>/customer/quotes</t>
        </is>
      </c>
    </row>
    <row r="49" ht="35" customHeight="1" s="20">
      <c r="A49" s="28" t="inlineStr">
        <is>
          <t>EP-046</t>
        </is>
      </c>
      <c r="B49" s="28" t="inlineStr">
        <is>
          <t>Financial Service</t>
        </is>
      </c>
      <c r="C49" s="28" t="inlineStr">
        <is>
          <t>FINANCIAL-SERVICE</t>
        </is>
      </c>
      <c r="D49" s="28" t="inlineStr">
        <is>
          <t>FinancialRouter</t>
        </is>
      </c>
      <c r="E49" s="29" t="inlineStr">
        <is>
          <t>PUT</t>
        </is>
      </c>
      <c r="F49" s="28" t="inlineStr">
        <is>
          <t>/api/financial/quotes/{quoteId}/cancel</t>
        </is>
      </c>
      <c r="G49" s="28" t="inlineStr">
        <is>
          <t>-</t>
        </is>
      </c>
      <c r="H49" s="28" t="inlineStr">
        <is>
          <t>Secured</t>
        </is>
      </c>
      <c r="I49" s="28" t="inlineStr">
        <is>
          <t>CUSTOMER</t>
        </is>
      </c>
      <c r="J49" s="28" t="inlineStr">
        <is>
          <t>JWT required (Bearer)</t>
        </is>
      </c>
      <c r="K49" s="28" t="inlineStr">
        <is>
          <t>QuoteHandler.cancel()</t>
        </is>
      </c>
      <c r="L49" s="28" t="inlineStr">
        <is>
          <t>QuoteService.cancel()</t>
        </is>
      </c>
      <c r="M49" s="28" t="inlineStr">
        <is>
          <t>Cancel my quote (-&gt; CANCELLED).</t>
        </is>
      </c>
      <c r="N49" s="28" t="inlineStr">
        <is>
          <t>DB: quotes</t>
        </is>
      </c>
      <c r="O49" s="28" t="inlineStr">
        <is>
          <t>QuoteService.cancelQuote</t>
        </is>
      </c>
      <c r="P49" s="28" t="inlineStr">
        <is>
          <t>/customer/quotes</t>
        </is>
      </c>
    </row>
    <row r="50" ht="52.5" customHeight="1" s="20">
      <c r="A50" s="28" t="inlineStr">
        <is>
          <t>EP-047</t>
        </is>
      </c>
      <c r="B50" s="28" t="inlineStr">
        <is>
          <t>Financial Service</t>
        </is>
      </c>
      <c r="C50" s="28" t="inlineStr">
        <is>
          <t>FINANCIAL-SERVICE</t>
        </is>
      </c>
      <c r="D50" s="28" t="inlineStr">
        <is>
          <t>FinancialRouter</t>
        </is>
      </c>
      <c r="E50" s="29" t="inlineStr">
        <is>
          <t>POST</t>
        </is>
      </c>
      <c r="F50" s="28" t="inlineStr">
        <is>
          <t>/internal/financial/pricing/calculate</t>
        </is>
      </c>
      <c r="G50" s="28" t="inlineStr">
        <is>
          <t>application/json</t>
        </is>
      </c>
      <c r="H50" s="28" t="inlineStr">
        <is>
          <t>Internal</t>
        </is>
      </c>
      <c r="I50" s="28" t="inlineStr">
        <is>
          <t>INTERNAL</t>
        </is>
      </c>
      <c r="J50" s="28" t="inlineStr">
        <is>
          <t>Not routed by gateway - service-to-service only via Eureka (lb://) with X-Gateway-Key</t>
        </is>
      </c>
      <c r="K50" s="28" t="inlineStr">
        <is>
          <t>QuoteHandler.priceInternal()</t>
        </is>
      </c>
      <c r="L50" s="28" t="inlineStr">
        <is>
          <t>-</t>
        </is>
      </c>
      <c r="M50" s="28" t="inlineStr">
        <is>
          <t>Price a policy application without a quote (Product-Svc). Returns rule id, factors and premium.</t>
        </is>
      </c>
      <c r="N50" s="28" t="inlineStr">
        <is>
          <t>DB read: pricing_rules</t>
        </is>
      </c>
      <c r="O50" s="28" t="inlineStr">
        <is>
          <t>(service-to-service)</t>
        </is>
      </c>
      <c r="P50" s="28" t="inlineStr">
        <is>
          <t>-</t>
        </is>
      </c>
    </row>
    <row r="51" ht="35" customHeight="1" s="20">
      <c r="A51" s="28" t="inlineStr">
        <is>
          <t>EP-048</t>
        </is>
      </c>
      <c r="B51" s="28" t="inlineStr">
        <is>
          <t>Financial Service</t>
        </is>
      </c>
      <c r="C51" s="28" t="inlineStr">
        <is>
          <t>FINANCIAL-SERVICE</t>
        </is>
      </c>
      <c r="D51" s="28" t="inlineStr">
        <is>
          <t>FinancialRouter</t>
        </is>
      </c>
      <c r="E51" s="29" t="inlineStr">
        <is>
          <t>POST</t>
        </is>
      </c>
      <c r="F51" s="28" t="inlineStr">
        <is>
          <t>/internal/financial/quotes/{quoteId}/validate</t>
        </is>
      </c>
      <c r="G51" s="28" t="inlineStr">
        <is>
          <t>application/json</t>
        </is>
      </c>
      <c r="H51" s="28" t="inlineStr">
        <is>
          <t>Internal</t>
        </is>
      </c>
      <c r="I51" s="28" t="inlineStr">
        <is>
          <t>INTERNAL</t>
        </is>
      </c>
      <c r="J51" s="28" t="inlineStr">
        <is>
          <t>Not routed by gateway - service-to-service only via Eureka (lb://) with X-Gateway-Key</t>
        </is>
      </c>
      <c r="K51" s="28" t="inlineStr">
        <is>
          <t>QuoteHandler.validateInternal()</t>
        </is>
      </c>
      <c r="L51" s="28" t="inlineStr">
        <is>
          <t>QuoteService.validateInternal()</t>
        </is>
      </c>
      <c r="M51" s="28" t="inlineStr">
        <is>
          <t>Validate that a quote matches the policy application (customer, product, zone, sum insured, term, ACCEPTED, not expired). Returns valid flag + premium.</t>
        </is>
      </c>
      <c r="N51" s="28" t="inlineStr">
        <is>
          <t>DB: quotes (may mark EXPIRED)</t>
        </is>
      </c>
      <c r="O51" s="28" t="inlineStr">
        <is>
          <t>(service-to-service)</t>
        </is>
      </c>
      <c r="P51" s="28" t="inlineStr">
        <is>
          <t>-</t>
        </is>
      </c>
    </row>
    <row r="52" ht="36" customHeight="1" s="20">
      <c r="A52" s="28" t="inlineStr">
        <is>
          <t>EP-049</t>
        </is>
      </c>
      <c r="B52" s="28" t="inlineStr">
        <is>
          <t>Financial Service</t>
        </is>
      </c>
      <c r="C52" s="28" t="inlineStr">
        <is>
          <t>FINANCIAL-SERVICE</t>
        </is>
      </c>
      <c r="D52" s="28" t="inlineStr">
        <is>
          <t>FinancialRouter</t>
        </is>
      </c>
      <c r="E52" s="29" t="inlineStr">
        <is>
          <t>PUT</t>
        </is>
      </c>
      <c r="F52" s="28" t="inlineStr">
        <is>
          <t>/internal/financial/quotes/{quoteId}/consume</t>
        </is>
      </c>
      <c r="G52" s="28" t="inlineStr">
        <is>
          <t>application/json</t>
        </is>
      </c>
      <c r="H52" s="28" t="inlineStr">
        <is>
          <t>Internal</t>
        </is>
      </c>
      <c r="I52" s="28" t="inlineStr">
        <is>
          <t>INTERNAL</t>
        </is>
      </c>
      <c r="J52" s="28" t="inlineStr">
        <is>
          <t>Not routed by gateway - service-to-service only via Eureka (lb://) with X-Gateway-Key</t>
        </is>
      </c>
      <c r="K52" s="28" t="inlineStr">
        <is>
          <t>QuoteHandler.consumeInternal()</t>
        </is>
      </c>
      <c r="L52" s="28" t="inlineStr">
        <is>
          <t>QuoteService.consume()</t>
        </is>
      </c>
      <c r="M52" s="28" t="inlineStr">
        <is>
          <t>Bind an ACCEPTED quote to the new policy (-&gt; CONSUMED); idempotent for the same policy.</t>
        </is>
      </c>
      <c r="N52" s="28" t="inlineStr">
        <is>
          <t>DB: quotes | Notification-Svc POST /internal/notifications (QUOTE_CONSUMED)</t>
        </is>
      </c>
      <c r="O52" s="28" t="inlineStr">
        <is>
          <t>(service-to-service)</t>
        </is>
      </c>
      <c r="P52" s="28" t="inlineStr">
        <is>
          <t>-</t>
        </is>
      </c>
    </row>
    <row r="53" ht="87.5" customHeight="1" s="20">
      <c r="A53" s="28" t="inlineStr">
        <is>
          <t>EP-050</t>
        </is>
      </c>
      <c r="B53" s="28" t="inlineStr">
        <is>
          <t>Financial Service</t>
        </is>
      </c>
      <c r="C53" s="28" t="inlineStr">
        <is>
          <t>FINANCIAL-SERVICE</t>
        </is>
      </c>
      <c r="D53" s="28" t="inlineStr">
        <is>
          <t>FinancialRouter</t>
        </is>
      </c>
      <c r="E53" s="29" t="inlineStr">
        <is>
          <t>POST</t>
        </is>
      </c>
      <c r="F53" s="28" t="inlineStr">
        <is>
          <t>/api/financial/payments</t>
        </is>
      </c>
      <c r="G53" s="28" t="inlineStr">
        <is>
          <t>application/json</t>
        </is>
      </c>
      <c r="H53" s="28" t="inlineStr">
        <is>
          <t>Secured</t>
        </is>
      </c>
      <c r="I53" s="28" t="inlineStr">
        <is>
          <t>CUSTOMER</t>
        </is>
      </c>
      <c r="J53" s="28" t="inlineStr">
        <is>
          <t>JWT required (Bearer)</t>
        </is>
      </c>
      <c r="K53" s="28" t="inlineStr">
        <is>
          <t>PaymentHandler.create()</t>
        </is>
      </c>
      <c r="L53" s="28" t="inlineStr">
        <is>
          <t>-</t>
        </is>
      </c>
      <c r="M53" s="28" t="inlineStr">
        <is>
          <t>Pay the premium for my policy (mock card / bank / UPI). Policy must be mine; no prior SUCCESS payment. Checkout is simulated, so the payment is SUCCESS straight away.</t>
        </is>
      </c>
      <c r="N53" s="28" t="inlineStr">
        <is>
          <t>Product-Svc GET /internal/policies/{id} | DB: payments, financial_transactions | Notification-Svc POST /internal/notifications (PAYMENT_SUCCESS)</t>
        </is>
      </c>
      <c r="O53" s="28" t="inlineStr">
        <is>
          <t>PaymentService.createPayment</t>
        </is>
      </c>
      <c r="P53" s="28" t="inlineStr">
        <is>
          <t>/customer/payments</t>
        </is>
      </c>
    </row>
    <row r="54" ht="35" customHeight="1" s="20">
      <c r="A54" s="28" t="inlineStr">
        <is>
          <t>EP-051</t>
        </is>
      </c>
      <c r="B54" s="28" t="inlineStr">
        <is>
          <t>Financial Service</t>
        </is>
      </c>
      <c r="C54" s="28" t="inlineStr">
        <is>
          <t>FINANCIAL-SERVICE</t>
        </is>
      </c>
      <c r="D54" s="28" t="inlineStr">
        <is>
          <t>FinancialRouter</t>
        </is>
      </c>
      <c r="E54" s="29" t="inlineStr">
        <is>
          <t>GET</t>
        </is>
      </c>
      <c r="F54" s="28" t="inlineStr">
        <is>
          <t>/api/financial/payments/me</t>
        </is>
      </c>
      <c r="G54" s="28" t="inlineStr">
        <is>
          <t>-</t>
        </is>
      </c>
      <c r="H54" s="28" t="inlineStr">
        <is>
          <t>Secured</t>
        </is>
      </c>
      <c r="I54" s="28" t="inlineStr">
        <is>
          <t>CUSTOMER</t>
        </is>
      </c>
      <c r="J54" s="28" t="inlineStr">
        <is>
          <t>JWT required (Bearer)</t>
        </is>
      </c>
      <c r="K54" s="28" t="inlineStr">
        <is>
          <t>PaymentHandler.findMine()</t>
        </is>
      </c>
      <c r="L54" s="28" t="inlineStr">
        <is>
          <t>PaymentService.findMine()</t>
        </is>
      </c>
      <c r="M54" s="28" t="inlineStr">
        <is>
          <t>My payments.</t>
        </is>
      </c>
      <c r="N54" s="28" t="inlineStr">
        <is>
          <t>DB read</t>
        </is>
      </c>
      <c r="O54" s="28" t="inlineStr">
        <is>
          <t>PaymentService.getMyPayments</t>
        </is>
      </c>
      <c r="P54" s="28" t="inlineStr">
        <is>
          <t>/customer/dashboard, /customer/payments</t>
        </is>
      </c>
    </row>
    <row r="55" ht="35" customHeight="1" s="20">
      <c r="A55" s="28" t="inlineStr">
        <is>
          <t>EP-052</t>
        </is>
      </c>
      <c r="B55" s="28" t="inlineStr">
        <is>
          <t>Financial Service</t>
        </is>
      </c>
      <c r="C55" s="28" t="inlineStr">
        <is>
          <t>FINANCIAL-SERVICE</t>
        </is>
      </c>
      <c r="D55" s="28" t="inlineStr">
        <is>
          <t>FinancialRouter</t>
        </is>
      </c>
      <c r="E55" s="29" t="inlineStr">
        <is>
          <t>GET</t>
        </is>
      </c>
      <c r="F55" s="28" t="inlineStr">
        <is>
          <t>/api/financial/payments/{paymentId}</t>
        </is>
      </c>
      <c r="G55" s="28" t="inlineStr">
        <is>
          <t>-</t>
        </is>
      </c>
      <c r="H55" s="28" t="inlineStr">
        <is>
          <t>Secured</t>
        </is>
      </c>
      <c r="I55" s="28" t="inlineStr">
        <is>
          <t>CUSTOMER, ADMIN</t>
        </is>
      </c>
      <c r="J55" s="28" t="inlineStr">
        <is>
          <t>JWT required (Bearer)</t>
        </is>
      </c>
      <c r="K55" s="28" t="inlineStr">
        <is>
          <t>PaymentHandler.findById()</t>
        </is>
      </c>
      <c r="L55" s="28" t="inlineStr">
        <is>
          <t>PaymentService.findById()</t>
        </is>
      </c>
      <c r="M55" s="28" t="inlineStr">
        <is>
          <t>A payment (customer: own only).</t>
        </is>
      </c>
      <c r="N55" s="28" t="inlineStr">
        <is>
          <t>DB read</t>
        </is>
      </c>
      <c r="O55" s="28" t="inlineStr">
        <is>
          <t>PaymentService.getPayment</t>
        </is>
      </c>
      <c r="P55" s="28" t="inlineStr">
        <is>
          <t>-</t>
        </is>
      </c>
    </row>
    <row r="56" ht="35" customHeight="1" s="20">
      <c r="A56" s="28" t="inlineStr">
        <is>
          <t>EP-053</t>
        </is>
      </c>
      <c r="B56" s="28" t="inlineStr">
        <is>
          <t>Financial Service</t>
        </is>
      </c>
      <c r="C56" s="28" t="inlineStr">
        <is>
          <t>FINANCIAL-SERVICE</t>
        </is>
      </c>
      <c r="D56" s="28" t="inlineStr">
        <is>
          <t>FinancialRouter</t>
        </is>
      </c>
      <c r="E56" s="29" t="inlineStr">
        <is>
          <t>GET</t>
        </is>
      </c>
      <c r="F56" s="28" t="inlineStr">
        <is>
          <t>/api/financial/payments/admin/all</t>
        </is>
      </c>
      <c r="G56" s="28" t="inlineStr">
        <is>
          <t>-</t>
        </is>
      </c>
      <c r="H56" s="28" t="inlineStr">
        <is>
          <t>Secured</t>
        </is>
      </c>
      <c r="I56" s="28" t="inlineStr">
        <is>
          <t>ADMIN</t>
        </is>
      </c>
      <c r="J56" s="28" t="inlineStr">
        <is>
          <t>JWT required (Bearer)</t>
        </is>
      </c>
      <c r="K56" s="28" t="inlineStr">
        <is>
          <t>PaymentHandler.findAll()</t>
        </is>
      </c>
      <c r="L56" s="28" t="inlineStr">
        <is>
          <t>PaymentService.findAll()</t>
        </is>
      </c>
      <c r="M56" s="28" t="inlineStr">
        <is>
          <t>All payments.</t>
        </is>
      </c>
      <c r="N56" s="28" t="inlineStr">
        <is>
          <t>DB read</t>
        </is>
      </c>
      <c r="O56" s="28" t="inlineStr">
        <is>
          <t>PaymentService.getAllPayments</t>
        </is>
      </c>
      <c r="P56" s="28" t="inlineStr">
        <is>
          <t>/admin/payments</t>
        </is>
      </c>
    </row>
    <row r="57" ht="35" customHeight="1" s="20">
      <c r="A57" s="28" t="inlineStr">
        <is>
          <t>EP-054</t>
        </is>
      </c>
      <c r="B57" s="28" t="inlineStr">
        <is>
          <t>Financial Service</t>
        </is>
      </c>
      <c r="C57" s="28" t="inlineStr">
        <is>
          <t>FINANCIAL-SERVICE</t>
        </is>
      </c>
      <c r="D57" s="28" t="inlineStr">
        <is>
          <t>FinancialRouter</t>
        </is>
      </c>
      <c r="E57" s="29" t="inlineStr">
        <is>
          <t>PUT</t>
        </is>
      </c>
      <c r="F57" s="28" t="inlineStr">
        <is>
          <t>/api/financial/payments/{paymentId}/refund</t>
        </is>
      </c>
      <c r="G57" s="28" t="inlineStr">
        <is>
          <t>-</t>
        </is>
      </c>
      <c r="H57" s="28" t="inlineStr">
        <is>
          <t>Secured</t>
        </is>
      </c>
      <c r="I57" s="28" t="inlineStr">
        <is>
          <t>ADMIN</t>
        </is>
      </c>
      <c r="J57" s="28" t="inlineStr">
        <is>
          <t>JWT required (Bearer)</t>
        </is>
      </c>
      <c r="K57" s="28" t="inlineStr">
        <is>
          <t>PaymentHandler.refund()</t>
        </is>
      </c>
      <c r="L57" s="28" t="inlineStr">
        <is>
          <t>PaymentService.refund()</t>
        </is>
      </c>
      <c r="M57" s="28" t="inlineStr">
        <is>
          <t>Refund a SUCCESS payment (-&gt; REFUNDED).</t>
        </is>
      </c>
      <c r="N57" s="28" t="inlineStr">
        <is>
          <t>DB: payments, financial_transactions | Notification-Svc POST /internal/notifications (PAYMENT_REFUNDED, REFUND_PROCESSED)</t>
        </is>
      </c>
      <c r="O57" s="28" t="inlineStr">
        <is>
          <t>PaymentService.refundPayment</t>
        </is>
      </c>
      <c r="P57" s="28" t="inlineStr">
        <is>
          <t>/admin/payments</t>
        </is>
      </c>
    </row>
    <row r="58" ht="70" customHeight="1" s="20">
      <c r="A58" s="28" t="inlineStr">
        <is>
          <t>EP-055</t>
        </is>
      </c>
      <c r="B58" s="28" t="inlineStr">
        <is>
          <t>Financial Service</t>
        </is>
      </c>
      <c r="C58" s="28" t="inlineStr">
        <is>
          <t>FINANCIAL-SERVICE</t>
        </is>
      </c>
      <c r="D58" s="28" t="inlineStr">
        <is>
          <t>FinancialRouter</t>
        </is>
      </c>
      <c r="E58" s="29" t="inlineStr">
        <is>
          <t>GET</t>
        </is>
      </c>
      <c r="F58" s="28" t="inlineStr">
        <is>
          <t>/internal/financial/payments/policy/{policyId}/status</t>
        </is>
      </c>
      <c r="G58" s="28" t="inlineStr">
        <is>
          <t>-</t>
        </is>
      </c>
      <c r="H58" s="28" t="inlineStr">
        <is>
          <t>Internal</t>
        </is>
      </c>
      <c r="I58" s="28" t="inlineStr">
        <is>
          <t>INTERNAL</t>
        </is>
      </c>
      <c r="J58" s="28" t="inlineStr">
        <is>
          <t>Not routed by gateway - service-to-service only via Eureka (lb://) with X-Gateway-Key</t>
        </is>
      </c>
      <c r="K58" s="28" t="inlineStr">
        <is>
          <t>PaymentHandler.policyStatus()</t>
        </is>
      </c>
      <c r="L58" s="28" t="inlineStr">
        <is>
          <t>PaymentService.policyStatus()</t>
        </is>
      </c>
      <c r="M58" s="28" t="inlineStr">
        <is>
          <t>Payment status summary for a policy.</t>
        </is>
      </c>
      <c r="N58" s="28" t="inlineStr">
        <is>
          <t>DB read</t>
        </is>
      </c>
      <c r="O58" s="28" t="inlineStr">
        <is>
          <t>(service-to-service)</t>
        </is>
      </c>
      <c r="P58" s="28" t="inlineStr">
        <is>
          <t>-</t>
        </is>
      </c>
    </row>
    <row r="59" ht="70" customHeight="1" s="20">
      <c r="A59" s="28" t="inlineStr">
        <is>
          <t>EP-056</t>
        </is>
      </c>
      <c r="B59" s="28" t="inlineStr">
        <is>
          <t>Financial Service</t>
        </is>
      </c>
      <c r="C59" s="28" t="inlineStr">
        <is>
          <t>FINANCIAL-SERVICE</t>
        </is>
      </c>
      <c r="D59" s="28" t="inlineStr">
        <is>
          <t>FinancialRouter</t>
        </is>
      </c>
      <c r="E59" s="29" t="inlineStr">
        <is>
          <t>POST</t>
        </is>
      </c>
      <c r="F59" s="28" t="inlineStr">
        <is>
          <t>/api/financial/payouts</t>
        </is>
      </c>
      <c r="G59" s="28" t="inlineStr">
        <is>
          <t>application/json</t>
        </is>
      </c>
      <c r="H59" s="28" t="inlineStr">
        <is>
          <t>Secured</t>
        </is>
      </c>
      <c r="I59" s="28" t="inlineStr">
        <is>
          <t>CLAIMS_OFFICER, ADMIN</t>
        </is>
      </c>
      <c r="J59" s="28" t="inlineStr">
        <is>
          <t>JWT required (Bearer)</t>
        </is>
      </c>
      <c r="K59" s="28" t="inlineStr">
        <is>
          <t>PayoutHandler.create()</t>
        </is>
      </c>
      <c r="L59" s="28" t="inlineStr">
        <is>
          <t>-</t>
        </is>
      </c>
      <c r="M59" s="28" t="inlineStr">
        <is>
          <t>Create a payout for an APPROVED claim (one payout per claim). Paid immediately (mock bank transfer).</t>
        </is>
      </c>
      <c r="N59" s="28" t="inlineStr">
        <is>
          <t>Claims-Svc GET /internal/claims/{claimId} | DB: payouts, financial_transactions | Notification-Svc POST /internal/notifications (PAYOUT_PENDING)</t>
        </is>
      </c>
      <c r="O59" s="28" t="inlineStr">
        <is>
          <t>PayoutService.createPayout</t>
        </is>
      </c>
      <c r="P59" s="28" t="inlineStr">
        <is>
          <t>-</t>
        </is>
      </c>
    </row>
    <row r="60" ht="70" customHeight="1" s="20">
      <c r="A60" s="28" t="inlineStr">
        <is>
          <t>EP-057</t>
        </is>
      </c>
      <c r="B60" s="28" t="inlineStr">
        <is>
          <t>Financial Service</t>
        </is>
      </c>
      <c r="C60" s="28" t="inlineStr">
        <is>
          <t>FINANCIAL-SERVICE</t>
        </is>
      </c>
      <c r="D60" s="28" t="inlineStr">
        <is>
          <t>FinancialRouter</t>
        </is>
      </c>
      <c r="E60" s="29" t="inlineStr">
        <is>
          <t>GET</t>
        </is>
      </c>
      <c r="F60" s="28" t="inlineStr">
        <is>
          <t>/api/financial/payouts/me</t>
        </is>
      </c>
      <c r="G60" s="28" t="inlineStr">
        <is>
          <t>-</t>
        </is>
      </c>
      <c r="H60" s="28" t="inlineStr">
        <is>
          <t>Secured</t>
        </is>
      </c>
      <c r="I60" s="28" t="inlineStr">
        <is>
          <t>CUSTOMER</t>
        </is>
      </c>
      <c r="J60" s="28" t="inlineStr">
        <is>
          <t>JWT required (Bearer)</t>
        </is>
      </c>
      <c r="K60" s="28" t="inlineStr">
        <is>
          <t>PayoutHandler.findMine()</t>
        </is>
      </c>
      <c r="L60" s="28" t="inlineStr">
        <is>
          <t>PayoutService.findMine()</t>
        </is>
      </c>
      <c r="M60" s="28" t="inlineStr">
        <is>
          <t>My payouts.</t>
        </is>
      </c>
      <c r="N60" s="28" t="inlineStr">
        <is>
          <t>DB read</t>
        </is>
      </c>
      <c r="O60" s="28" t="inlineStr">
        <is>
          <t>PayoutService.getMyPayouts</t>
        </is>
      </c>
      <c r="P60" s="28" t="inlineStr">
        <is>
          <t>/customer/dashboard, /customer/payments</t>
        </is>
      </c>
    </row>
    <row r="61" ht="70" customHeight="1" s="20">
      <c r="A61" s="28" t="inlineStr">
        <is>
          <t>EP-058</t>
        </is>
      </c>
      <c r="B61" s="28" t="inlineStr">
        <is>
          <t>Financial Service</t>
        </is>
      </c>
      <c r="C61" s="28" t="inlineStr">
        <is>
          <t>FINANCIAL-SERVICE</t>
        </is>
      </c>
      <c r="D61" s="28" t="inlineStr">
        <is>
          <t>FinancialRouter</t>
        </is>
      </c>
      <c r="E61" s="29" t="inlineStr">
        <is>
          <t>GET</t>
        </is>
      </c>
      <c r="F61" s="28" t="inlineStr">
        <is>
          <t>/api/financial/payouts/{payoutId}</t>
        </is>
      </c>
      <c r="G61" s="28" t="inlineStr">
        <is>
          <t>-</t>
        </is>
      </c>
      <c r="H61" s="28" t="inlineStr">
        <is>
          <t>Secured</t>
        </is>
      </c>
      <c r="I61" s="28" t="inlineStr">
        <is>
          <t>CUSTOMER, ADMIN</t>
        </is>
      </c>
      <c r="J61" s="28" t="inlineStr">
        <is>
          <t>JWT required (Bearer)</t>
        </is>
      </c>
      <c r="K61" s="28" t="inlineStr">
        <is>
          <t>PayoutHandler.findById()</t>
        </is>
      </c>
      <c r="L61" s="28" t="inlineStr">
        <is>
          <t>PayoutService.findById()</t>
        </is>
      </c>
      <c r="M61" s="28" t="inlineStr">
        <is>
          <t>A payout (customer: own only).</t>
        </is>
      </c>
      <c r="N61" s="28" t="inlineStr">
        <is>
          <t>DB read</t>
        </is>
      </c>
      <c r="O61" s="28" t="inlineStr">
        <is>
          <t>PayoutService.getPayout</t>
        </is>
      </c>
      <c r="P61" s="28" t="inlineStr">
        <is>
          <t>-</t>
        </is>
      </c>
    </row>
    <row r="62" ht="35" customHeight="1" s="20">
      <c r="A62" s="28" t="inlineStr">
        <is>
          <t>EP-059</t>
        </is>
      </c>
      <c r="B62" s="28" t="inlineStr">
        <is>
          <t>Financial Service</t>
        </is>
      </c>
      <c r="C62" s="28" t="inlineStr">
        <is>
          <t>FINANCIAL-SERVICE</t>
        </is>
      </c>
      <c r="D62" s="28" t="inlineStr">
        <is>
          <t>FinancialRouter</t>
        </is>
      </c>
      <c r="E62" s="29" t="inlineStr">
        <is>
          <t>GET</t>
        </is>
      </c>
      <c r="F62" s="28" t="inlineStr">
        <is>
          <t>/api/financial/payouts/admin/all</t>
        </is>
      </c>
      <c r="G62" s="28" t="inlineStr">
        <is>
          <t>-</t>
        </is>
      </c>
      <c r="H62" s="28" t="inlineStr">
        <is>
          <t>Secured</t>
        </is>
      </c>
      <c r="I62" s="28" t="inlineStr">
        <is>
          <t>ADMIN</t>
        </is>
      </c>
      <c r="J62" s="28" t="inlineStr">
        <is>
          <t>JWT required (Bearer)</t>
        </is>
      </c>
      <c r="K62" s="28" t="inlineStr">
        <is>
          <t>PayoutHandler.findAll()</t>
        </is>
      </c>
      <c r="L62" s="28" t="inlineStr">
        <is>
          <t>PayoutService.findAll()</t>
        </is>
      </c>
      <c r="M62" s="28" t="inlineStr">
        <is>
          <t>All payouts.</t>
        </is>
      </c>
      <c r="N62" s="28" t="inlineStr">
        <is>
          <t>DB read</t>
        </is>
      </c>
      <c r="O62" s="28" t="inlineStr">
        <is>
          <t>PayoutService.getAllPayouts</t>
        </is>
      </c>
      <c r="P62" s="28" t="inlineStr">
        <is>
          <t>/admin/dashboard, /admin/payouts</t>
        </is>
      </c>
    </row>
    <row r="63" ht="35" customHeight="1" s="20">
      <c r="A63" s="28" t="inlineStr">
        <is>
          <t>EP-060</t>
        </is>
      </c>
      <c r="B63" s="28" t="inlineStr">
        <is>
          <t>Financial Service</t>
        </is>
      </c>
      <c r="C63" s="28" t="inlineStr">
        <is>
          <t>FINANCIAL-SERVICE</t>
        </is>
      </c>
      <c r="D63" s="28" t="inlineStr">
        <is>
          <t>FinancialRouter</t>
        </is>
      </c>
      <c r="E63" s="29" t="inlineStr">
        <is>
          <t>PUT</t>
        </is>
      </c>
      <c r="F63" s="28" t="inlineStr">
        <is>
          <t>/api/financial/payouts/{payoutId}/retry</t>
        </is>
      </c>
      <c r="G63" s="28" t="inlineStr">
        <is>
          <t>application/json</t>
        </is>
      </c>
      <c r="H63" s="28" t="inlineStr">
        <is>
          <t>Secured</t>
        </is>
      </c>
      <c r="I63" s="28" t="inlineStr">
        <is>
          <t>ADMIN</t>
        </is>
      </c>
      <c r="J63" s="28" t="inlineStr">
        <is>
          <t>JWT required (Bearer)</t>
        </is>
      </c>
      <c r="K63" s="28" t="inlineStr">
        <is>
          <t>PayoutHandler.retry()</t>
        </is>
      </c>
      <c r="L63" s="28" t="inlineStr">
        <is>
          <t>PayoutService.retry()</t>
        </is>
      </c>
      <c r="M63" s="28" t="inlineStr">
        <is>
          <t>Retry an old FAILED payout: it is paid straight away.</t>
        </is>
      </c>
      <c r="N63" s="28" t="inlineStr">
        <is>
          <t>DB: payouts | Notification-Svc POST /internal/notifications (PAYOUT_RETRY)</t>
        </is>
      </c>
      <c r="O63" s="28" t="inlineStr">
        <is>
          <t>PayoutService.retryPayout</t>
        </is>
      </c>
      <c r="P63" s="28" t="inlineStr">
        <is>
          <t>/admin/payouts</t>
        </is>
      </c>
    </row>
    <row r="64" ht="35" customHeight="1" s="20">
      <c r="A64" s="28" t="inlineStr">
        <is>
          <t>EP-061</t>
        </is>
      </c>
      <c r="B64" s="28" t="inlineStr">
        <is>
          <t>Financial Service</t>
        </is>
      </c>
      <c r="C64" s="28" t="inlineStr">
        <is>
          <t>FINANCIAL-SERVICE</t>
        </is>
      </c>
      <c r="D64" s="28" t="inlineStr">
        <is>
          <t>FinancialRouter</t>
        </is>
      </c>
      <c r="E64" s="29" t="inlineStr">
        <is>
          <t>POST</t>
        </is>
      </c>
      <c r="F64" s="28" t="inlineStr">
        <is>
          <t>/internal/financial/payouts</t>
        </is>
      </c>
      <c r="G64" s="28" t="inlineStr">
        <is>
          <t>application/json</t>
        </is>
      </c>
      <c r="H64" s="28" t="inlineStr">
        <is>
          <t>Internal</t>
        </is>
      </c>
      <c r="I64" s="28" t="inlineStr">
        <is>
          <t>INTERNAL</t>
        </is>
      </c>
      <c r="J64" s="28" t="inlineStr">
        <is>
          <t>Not routed by gateway - service-to-service only via Eureka (lb://) with X-Gateway-Key</t>
        </is>
      </c>
      <c r="K64" s="28" t="inlineStr">
        <is>
          <t>PayoutHandler.createInternal()</t>
        </is>
      </c>
      <c r="L64" s="28" t="inlineStr">
        <is>
          <t>-</t>
        </is>
      </c>
      <c r="M64" s="28" t="inlineStr">
        <is>
          <t>Create and pay the payout for an approved claim (called by Claims-Svc right after approval). Then settles the claim and closes the trigger event.</t>
        </is>
      </c>
      <c r="N64" s="28" t="inlineStr">
        <is>
          <t>Claims-Svc GET /internal/claims/{claimId} | DB: payouts, financial_transactions | Notification-Svc POST /internal/notifications (PAYOUT_PROCESSED) | Claims-Svc PUT /internal/claims/{claimId}/settle | Trigger-Svc PUT /internal/triggers/events/{eventId}/processed</t>
        </is>
      </c>
      <c r="O64" s="28" t="inlineStr">
        <is>
          <t>(service-to-service)</t>
        </is>
      </c>
      <c r="P64" s="28" t="inlineStr">
        <is>
          <t>-</t>
        </is>
      </c>
    </row>
    <row r="65" ht="70" customHeight="1" s="20">
      <c r="A65" s="28" t="inlineStr">
        <is>
          <t>EP-062</t>
        </is>
      </c>
      <c r="B65" s="28" t="inlineStr">
        <is>
          <t>Financial Service</t>
        </is>
      </c>
      <c r="C65" s="28" t="inlineStr">
        <is>
          <t>FINANCIAL-SERVICE</t>
        </is>
      </c>
      <c r="D65" s="28" t="inlineStr">
        <is>
          <t>FinancialRouter</t>
        </is>
      </c>
      <c r="E65" s="29" t="inlineStr">
        <is>
          <t>GET</t>
        </is>
      </c>
      <c r="F65" s="28" t="inlineStr">
        <is>
          <t>/api/financial/admin/metrics</t>
        </is>
      </c>
      <c r="G65" s="28" t="inlineStr">
        <is>
          <t>-</t>
        </is>
      </c>
      <c r="H65" s="28" t="inlineStr">
        <is>
          <t>Secured</t>
        </is>
      </c>
      <c r="I65" s="28" t="inlineStr">
        <is>
          <t>ADMIN</t>
        </is>
      </c>
      <c r="J65" s="28" t="inlineStr">
        <is>
          <t>JWT required (Bearer)</t>
        </is>
      </c>
      <c r="K65" s="28" t="inlineStr">
        <is>
          <t>MetricsHandler.metrics()</t>
        </is>
      </c>
      <c r="L65" s="28" t="inlineStr">
        <is>
          <t>MetricsService.metrics()</t>
        </is>
      </c>
      <c r="M65" s="28" t="inlineStr">
        <is>
          <t>Financial KPIs (premium collected, payouts, counts by status) for the admin dashboard.</t>
        </is>
      </c>
      <c r="N65" s="28" t="inlineStr">
        <is>
          <t>DB read (aggregates)</t>
        </is>
      </c>
      <c r="O65" s="28" t="inlineStr">
        <is>
          <t>(not called by SPA)</t>
        </is>
      </c>
      <c r="P65" s="28" t="inlineStr">
        <is>
          <t>-</t>
        </is>
      </c>
    </row>
    <row r="66" ht="52.5" customHeight="1" s="20">
      <c r="A66" s="28" t="inlineStr">
        <is>
          <t>EP-063</t>
        </is>
      </c>
      <c r="B66" s="28" t="inlineStr">
        <is>
          <t>Financial Service</t>
        </is>
      </c>
      <c r="C66" s="28" t="inlineStr">
        <is>
          <t>FINANCIAL-SERVICE</t>
        </is>
      </c>
      <c r="D66" s="28" t="inlineStr">
        <is>
          <t>PayoutReceiptRouter</t>
        </is>
      </c>
      <c r="E66" s="29" t="inlineStr">
        <is>
          <t>GET</t>
        </is>
      </c>
      <c r="F66" s="28" t="inlineStr">
        <is>
          <t>/api/financial/payouts/{payoutId}/receipt</t>
        </is>
      </c>
      <c r="G66" s="28" t="inlineStr">
        <is>
          <t>-</t>
        </is>
      </c>
      <c r="H66" s="28" t="inlineStr">
        <is>
          <t>Secured</t>
        </is>
      </c>
      <c r="I66" s="28" t="inlineStr">
        <is>
          <t>CUSTOMER</t>
        </is>
      </c>
      <c r="J66" s="28" t="inlineStr">
        <is>
          <t>JWT required (Bearer)</t>
        </is>
      </c>
      <c r="K66" s="28" t="inlineStr">
        <is>
          <t>PayoutReceiptHandler.customerReceipt()</t>
        </is>
      </c>
      <c r="L66" s="28" t="inlineStr">
        <is>
          <t>PayoutReceiptService.receiptForCustomer()</t>
        </is>
      </c>
      <c r="M66" s="28" t="inlineStr">
        <is>
          <t>Download my payout receipt (PDF).</t>
        </is>
      </c>
      <c r="N66" s="28" t="inlineStr">
        <is>
          <t>Product-Svc GET /internal/policies/{id}</t>
        </is>
      </c>
      <c r="O66" s="28" t="inlineStr">
        <is>
          <t>PayoutService.downloadReceipt</t>
        </is>
      </c>
      <c r="P66" s="28" t="inlineStr">
        <is>
          <t>/customer/payments</t>
        </is>
      </c>
    </row>
    <row r="67" ht="70" customHeight="1" s="20">
      <c r="A67" s="28" t="inlineStr">
        <is>
          <t>EP-064</t>
        </is>
      </c>
      <c r="B67" s="28" t="inlineStr">
        <is>
          <t>Financial Service</t>
        </is>
      </c>
      <c r="C67" s="28" t="inlineStr">
        <is>
          <t>FINANCIAL-SERVICE</t>
        </is>
      </c>
      <c r="D67" s="28" t="inlineStr">
        <is>
          <t>PayoutReceiptRouter</t>
        </is>
      </c>
      <c r="E67" s="29" t="inlineStr">
        <is>
          <t>GET</t>
        </is>
      </c>
      <c r="F67" s="28" t="inlineStr">
        <is>
          <t>/api/financial/payouts/admin/{payoutId}/receipt</t>
        </is>
      </c>
      <c r="G67" s="28" t="inlineStr">
        <is>
          <t>-</t>
        </is>
      </c>
      <c r="H67" s="28" t="inlineStr">
        <is>
          <t>Secured</t>
        </is>
      </c>
      <c r="I67" s="28" t="inlineStr">
        <is>
          <t>ADMIN</t>
        </is>
      </c>
      <c r="J67" s="28" t="inlineStr">
        <is>
          <t>JWT required (Bearer)</t>
        </is>
      </c>
      <c r="K67" s="28" t="inlineStr">
        <is>
          <t>PayoutReceiptHandler.adminReceipt()</t>
        </is>
      </c>
      <c r="L67" s="28" t="inlineStr">
        <is>
          <t>PayoutReceiptService.receiptForAdmin()</t>
        </is>
      </c>
      <c r="M67" s="28" t="inlineStr">
        <is>
          <t>Download any payout receipt (PDF).</t>
        </is>
      </c>
      <c r="N67" s="28" t="inlineStr">
        <is>
          <t>Product-Svc GET /internal/policies/{id}</t>
        </is>
      </c>
      <c r="O67" s="28" t="inlineStr">
        <is>
          <t>PayoutService.downloadAdminReceipt</t>
        </is>
      </c>
      <c r="P67" s="28" t="inlineStr">
        <is>
          <t>/admin/payouts</t>
        </is>
      </c>
    </row>
    <row r="68" ht="52.5" customHeight="1" s="20">
      <c r="A68" s="28" t="inlineStr">
        <is>
          <t>EP-065</t>
        </is>
      </c>
      <c r="B68" s="28" t="inlineStr">
        <is>
          <t>Notification Service</t>
        </is>
      </c>
      <c r="C68" s="28" t="inlineStr">
        <is>
          <t>NOTIFICATION-SERVICE</t>
        </is>
      </c>
      <c r="D68" s="28" t="inlineStr">
        <is>
          <t>NotificationRouter</t>
        </is>
      </c>
      <c r="E68" s="29" t="inlineStr">
        <is>
          <t>POST</t>
        </is>
      </c>
      <c r="F68" s="28" t="inlineStr">
        <is>
          <t>/internal/notifications</t>
        </is>
      </c>
      <c r="G68" s="28" t="inlineStr">
        <is>
          <t>application/json</t>
        </is>
      </c>
      <c r="H68" s="28" t="inlineStr">
        <is>
          <t>Internal</t>
        </is>
      </c>
      <c r="I68" s="28" t="inlineStr">
        <is>
          <t>INTERNAL</t>
        </is>
      </c>
      <c r="J68" s="28" t="inlineStr">
        <is>
          <t>Not routed by gateway - service-to-service only via Eureka (lb://) with X-Gateway-Key</t>
        </is>
      </c>
      <c r="K68" s="28" t="inlineStr">
        <is>
          <t>NotificationHandler.create()</t>
        </is>
      </c>
      <c r="L68" s="28" t="inlineStr">
        <is>
          <t>-</t>
        </is>
      </c>
      <c r="M68" s="28" t="inlineStr">
        <is>
          <t>Create an in-app notification (recipient user / customer / role). Idempotent via idempotencyKey; pushed to the live SSE stream.</t>
        </is>
      </c>
      <c r="N68" s="28" t="inlineStr">
        <is>
          <t>DB: notifications | SSE publish</t>
        </is>
      </c>
      <c r="O68" s="28" t="inlineStr">
        <is>
          <t>(service-to-service)</t>
        </is>
      </c>
      <c r="P68" s="28" t="inlineStr">
        <is>
          <t>-</t>
        </is>
      </c>
    </row>
    <row r="69" ht="70" customHeight="1" s="20">
      <c r="A69" s="28" t="inlineStr">
        <is>
          <t>EP-066</t>
        </is>
      </c>
      <c r="B69" s="28" t="inlineStr">
        <is>
          <t>Notification Service</t>
        </is>
      </c>
      <c r="C69" s="28" t="inlineStr">
        <is>
          <t>NOTIFICATION-SERVICE</t>
        </is>
      </c>
      <c r="D69" s="28" t="inlineStr">
        <is>
          <t>NotificationRouter</t>
        </is>
      </c>
      <c r="E69" s="29" t="inlineStr">
        <is>
          <t>GET</t>
        </is>
      </c>
      <c r="F69" s="28" t="inlineStr">
        <is>
          <t>/api/notifications/me</t>
        </is>
      </c>
      <c r="G69" s="28" t="inlineStr">
        <is>
          <t>-</t>
        </is>
      </c>
      <c r="H69" s="28" t="inlineStr">
        <is>
          <t>Secured</t>
        </is>
      </c>
      <c r="I69" s="28" t="inlineStr">
        <is>
          <t>AUTHENTICATED</t>
        </is>
      </c>
      <c r="J69" s="28" t="inlineStr">
        <is>
          <t>JWT required (Bearer)</t>
        </is>
      </c>
      <c r="K69" s="28" t="inlineStr">
        <is>
          <t>NotificationHandler.mine()</t>
        </is>
      </c>
      <c r="L69" s="28" t="inlineStr">
        <is>
          <t>NotificationService.mine()</t>
        </is>
      </c>
      <c r="M69" s="28" t="inlineStr">
        <is>
          <t>My in-app notifications, newest first (own, customer-id and role broadcasts).</t>
        </is>
      </c>
      <c r="N69" s="28" t="inlineStr">
        <is>
          <t>DB read</t>
        </is>
      </c>
      <c r="O69" s="28" t="inlineStr">
        <is>
          <t>NotificationService.getMyNotifications</t>
        </is>
      </c>
      <c r="P69" s="28" t="inlineStr">
        <is>
          <t>/claims-officer/notifications, /customer/notifications, /underwriter/notifications</t>
        </is>
      </c>
    </row>
    <row r="70" ht="70" customHeight="1" s="20">
      <c r="A70" s="28" t="inlineStr">
        <is>
          <t>EP-067</t>
        </is>
      </c>
      <c r="B70" s="28" t="inlineStr">
        <is>
          <t>Notification Service</t>
        </is>
      </c>
      <c r="C70" s="28" t="inlineStr">
        <is>
          <t>NOTIFICATION-SERVICE</t>
        </is>
      </c>
      <c r="D70" s="28" t="inlineStr">
        <is>
          <t>NotificationRouter</t>
        </is>
      </c>
      <c r="E70" s="29" t="inlineStr">
        <is>
          <t>GET</t>
        </is>
      </c>
      <c r="F70" s="28" t="inlineStr">
        <is>
          <t>/api/notifications/me/unread</t>
        </is>
      </c>
      <c r="G70" s="28" t="inlineStr">
        <is>
          <t>-</t>
        </is>
      </c>
      <c r="H70" s="28" t="inlineStr">
        <is>
          <t>Secured</t>
        </is>
      </c>
      <c r="I70" s="28" t="inlineStr">
        <is>
          <t>AUTHENTICATED</t>
        </is>
      </c>
      <c r="J70" s="28" t="inlineStr">
        <is>
          <t>JWT required (Bearer)</t>
        </is>
      </c>
      <c r="K70" s="28" t="inlineStr">
        <is>
          <t>NotificationHandler.unread()</t>
        </is>
      </c>
      <c r="L70" s="28" t="inlineStr">
        <is>
          <t>NotificationService.mine()</t>
        </is>
      </c>
      <c r="M70" s="28" t="inlineStr">
        <is>
          <t>My unread notifications.</t>
        </is>
      </c>
      <c r="N70" s="28" t="inlineStr">
        <is>
          <t>DB read</t>
        </is>
      </c>
      <c r="O70" s="28" t="inlineStr">
        <is>
          <t>NotificationService.getMyUnreadNotifications</t>
        </is>
      </c>
      <c r="P70" s="28" t="inlineStr">
        <is>
          <t>-</t>
        </is>
      </c>
    </row>
    <row r="71" ht="35" customHeight="1" s="20">
      <c r="A71" s="28" t="inlineStr">
        <is>
          <t>EP-068</t>
        </is>
      </c>
      <c r="B71" s="28" t="inlineStr">
        <is>
          <t>Notification Service</t>
        </is>
      </c>
      <c r="C71" s="28" t="inlineStr">
        <is>
          <t>NOTIFICATION-SERVICE</t>
        </is>
      </c>
      <c r="D71" s="28" t="inlineStr">
        <is>
          <t>NotificationRouter</t>
        </is>
      </c>
      <c r="E71" s="29" t="inlineStr">
        <is>
          <t>GET</t>
        </is>
      </c>
      <c r="F71" s="28" t="inlineStr">
        <is>
          <t>/api/notifications/me/unread-count</t>
        </is>
      </c>
      <c r="G71" s="28" t="inlineStr">
        <is>
          <t>-</t>
        </is>
      </c>
      <c r="H71" s="28" t="inlineStr">
        <is>
          <t>Secured</t>
        </is>
      </c>
      <c r="I71" s="28" t="inlineStr">
        <is>
          <t>AUTHENTICATED</t>
        </is>
      </c>
      <c r="J71" s="28" t="inlineStr">
        <is>
          <t>JWT required (Bearer)</t>
        </is>
      </c>
      <c r="K71" s="28" t="inlineStr">
        <is>
          <t>NotificationHandler.count()</t>
        </is>
      </c>
      <c r="L71" s="28" t="inlineStr">
        <is>
          <t>NotificationService.unreadCount()</t>
        </is>
      </c>
      <c r="M71" s="28" t="inlineStr">
        <is>
          <t>Unread badge count.</t>
        </is>
      </c>
      <c r="N71" s="28" t="inlineStr">
        <is>
          <t>DB read</t>
        </is>
      </c>
      <c r="O71" s="28" t="inlineStr">
        <is>
          <t>NotificationService.getUnreadCount</t>
        </is>
      </c>
      <c r="P71" s="28" t="inlineStr">
        <is>
          <t>/admin/notifications</t>
        </is>
      </c>
    </row>
    <row r="72" ht="35" customHeight="1" s="20">
      <c r="A72" s="28" t="inlineStr">
        <is>
          <t>EP-069</t>
        </is>
      </c>
      <c r="B72" s="28" t="inlineStr">
        <is>
          <t>Notification Service</t>
        </is>
      </c>
      <c r="C72" s="28" t="inlineStr">
        <is>
          <t>NOTIFICATION-SERVICE</t>
        </is>
      </c>
      <c r="D72" s="28" t="inlineStr">
        <is>
          <t>NotificationRouter</t>
        </is>
      </c>
      <c r="E72" s="29" t="inlineStr">
        <is>
          <t>GET</t>
        </is>
      </c>
      <c r="F72" s="28" t="inlineStr">
        <is>
          <t>/api/notifications/me/stream</t>
        </is>
      </c>
      <c r="G72" s="28" t="inlineStr">
        <is>
          <t>-</t>
        </is>
      </c>
      <c r="H72" s="28" t="inlineStr">
        <is>
          <t>Secured</t>
        </is>
      </c>
      <c r="I72" s="28" t="inlineStr">
        <is>
          <t>AUTHENTICATED (token via ?access_token=)</t>
        </is>
      </c>
      <c r="J72" s="28" t="inlineStr">
        <is>
          <t>JWT via ?access_token= query param (SSE)</t>
        </is>
      </c>
      <c r="K72" s="28" t="inlineStr">
        <is>
          <t>NotificationHandler.stream()</t>
        </is>
      </c>
      <c r="L72" s="28" t="inlineStr">
        <is>
          <t>NotificationService.stream()</t>
        </is>
      </c>
      <c r="M72" s="28" t="inlineStr">
        <is>
          <t>Server-Sent Events stream of new notifications for the caller.</t>
        </is>
      </c>
      <c r="N72" s="28" t="inlineStr">
        <is>
          <t>SSE (NotificationStream)</t>
        </is>
      </c>
      <c r="O72" s="28" t="inlineStr">
        <is>
          <t>NotificationPushService.connect</t>
        </is>
      </c>
      <c r="P72" s="28" t="inlineStr">
        <is>
          <t>-</t>
        </is>
      </c>
    </row>
    <row r="73" ht="35" customHeight="1" s="20">
      <c r="A73" s="28" t="inlineStr">
        <is>
          <t>EP-070</t>
        </is>
      </c>
      <c r="B73" s="28" t="inlineStr">
        <is>
          <t>Notification Service</t>
        </is>
      </c>
      <c r="C73" s="28" t="inlineStr">
        <is>
          <t>NOTIFICATION-SERVICE</t>
        </is>
      </c>
      <c r="D73" s="28" t="inlineStr">
        <is>
          <t>NotificationRouter</t>
        </is>
      </c>
      <c r="E73" s="29" t="inlineStr">
        <is>
          <t>PUT</t>
        </is>
      </c>
      <c r="F73" s="28" t="inlineStr">
        <is>
          <t>/api/notifications/{notificationId}/read</t>
        </is>
      </c>
      <c r="G73" s="28" t="inlineStr">
        <is>
          <t>-</t>
        </is>
      </c>
      <c r="H73" s="28" t="inlineStr">
        <is>
          <t>Secured</t>
        </is>
      </c>
      <c r="I73" s="28" t="inlineStr">
        <is>
          <t>AUTHENTICATED</t>
        </is>
      </c>
      <c r="J73" s="28" t="inlineStr">
        <is>
          <t>JWT required (Bearer)</t>
        </is>
      </c>
      <c r="K73" s="28" t="inlineStr">
        <is>
          <t>NotificationHandler.read()</t>
        </is>
      </c>
      <c r="L73" s="28" t="inlineStr">
        <is>
          <t>NotificationService.markRead()</t>
        </is>
      </c>
      <c r="M73" s="28" t="inlineStr">
        <is>
          <t>Mark one of my notifications read.</t>
        </is>
      </c>
      <c r="N73" s="28" t="inlineStr">
        <is>
          <t>DB: notifications</t>
        </is>
      </c>
      <c r="O73" s="28" t="inlineStr">
        <is>
          <t>NotificationService.markAsRead</t>
        </is>
      </c>
      <c r="P73" s="28" t="inlineStr">
        <is>
          <t>/claims-officer/notifications, /customer/notifications, /underwriter/notifications</t>
        </is>
      </c>
    </row>
    <row r="74" ht="35" customHeight="1" s="20">
      <c r="A74" s="28" t="inlineStr">
        <is>
          <t>EP-071</t>
        </is>
      </c>
      <c r="B74" s="28" t="inlineStr">
        <is>
          <t>Notification Service</t>
        </is>
      </c>
      <c r="C74" s="28" t="inlineStr">
        <is>
          <t>NOTIFICATION-SERVICE</t>
        </is>
      </c>
      <c r="D74" s="28" t="inlineStr">
        <is>
          <t>NotificationRouter</t>
        </is>
      </c>
      <c r="E74" s="29" t="inlineStr">
        <is>
          <t>PUT</t>
        </is>
      </c>
      <c r="F74" s="28" t="inlineStr">
        <is>
          <t>/api/notifications/me/read-all</t>
        </is>
      </c>
      <c r="G74" s="28" t="inlineStr">
        <is>
          <t>-</t>
        </is>
      </c>
      <c r="H74" s="28" t="inlineStr">
        <is>
          <t>Secured</t>
        </is>
      </c>
      <c r="I74" s="28" t="inlineStr">
        <is>
          <t>AUTHENTICATED</t>
        </is>
      </c>
      <c r="J74" s="28" t="inlineStr">
        <is>
          <t>JWT required (Bearer)</t>
        </is>
      </c>
      <c r="K74" s="28" t="inlineStr">
        <is>
          <t>NotificationHandler.readAll()</t>
        </is>
      </c>
      <c r="L74" s="28" t="inlineStr">
        <is>
          <t>NotificationService.markAllRead()</t>
        </is>
      </c>
      <c r="M74" s="28" t="inlineStr">
        <is>
          <t>Mark all my notifications read.</t>
        </is>
      </c>
      <c r="N74" s="28" t="inlineStr">
        <is>
          <t>DB: notifications</t>
        </is>
      </c>
      <c r="O74" s="28" t="inlineStr">
        <is>
          <t>NotificationService.markAllAsRead</t>
        </is>
      </c>
      <c r="P74" s="28" t="inlineStr">
        <is>
          <t>/claims-officer/notifications, /customer/notifications, /underwriter/notifications</t>
        </is>
      </c>
    </row>
    <row r="75" ht="87.5" customHeight="1" s="20">
      <c r="A75" s="28" t="inlineStr">
        <is>
          <t>EP-072</t>
        </is>
      </c>
      <c r="B75" s="28" t="inlineStr">
        <is>
          <t>Notification Service</t>
        </is>
      </c>
      <c r="C75" s="28" t="inlineStr">
        <is>
          <t>NOTIFICATION-SERVICE</t>
        </is>
      </c>
      <c r="D75" s="28" t="inlineStr">
        <is>
          <t>NotificationRouter</t>
        </is>
      </c>
      <c r="E75" s="29" t="inlineStr">
        <is>
          <t>DELETE</t>
        </is>
      </c>
      <c r="F75" s="28" t="inlineStr">
        <is>
          <t>/api/notifications/{notificationId}</t>
        </is>
      </c>
      <c r="G75" s="28" t="inlineStr">
        <is>
          <t>-</t>
        </is>
      </c>
      <c r="H75" s="28" t="inlineStr">
        <is>
          <t>Secured</t>
        </is>
      </c>
      <c r="I75" s="28" t="inlineStr">
        <is>
          <t>AUTHENTICATED</t>
        </is>
      </c>
      <c r="J75" s="28" t="inlineStr">
        <is>
          <t>JWT required (Bearer)</t>
        </is>
      </c>
      <c r="K75" s="28" t="inlineStr">
        <is>
          <t>NotificationHandler.delete()</t>
        </is>
      </c>
      <c r="L75" s="28" t="inlineStr">
        <is>
          <t>NotificationService.delete()</t>
        </is>
      </c>
      <c r="M75" s="28" t="inlineStr">
        <is>
          <t>Delete one of my notifications.</t>
        </is>
      </c>
      <c r="N75" s="28" t="inlineStr">
        <is>
          <t>DB: notifications</t>
        </is>
      </c>
      <c r="O75" s="28" t="inlineStr">
        <is>
          <t>NotificationService.deleteNotification</t>
        </is>
      </c>
      <c r="P75" s="28" t="inlineStr">
        <is>
          <t>/claims-officer/notifications, /customer/notifications, /underwriter/notifications</t>
        </is>
      </c>
    </row>
    <row r="76" ht="52.5" customHeight="1" s="20">
      <c r="A76" s="28" t="inlineStr">
        <is>
          <t>EP-073</t>
        </is>
      </c>
      <c r="B76" s="28" t="inlineStr">
        <is>
          <t>Notification Service</t>
        </is>
      </c>
      <c r="C76" s="28" t="inlineStr">
        <is>
          <t>NOTIFICATION-SERVICE</t>
        </is>
      </c>
      <c r="D76" s="28" t="inlineStr">
        <is>
          <t>NotificationRouter</t>
        </is>
      </c>
      <c r="E76" s="29" t="inlineStr">
        <is>
          <t>GET</t>
        </is>
      </c>
      <c r="F76" s="28" t="inlineStr">
        <is>
          <t>/api/notifications/admin/all</t>
        </is>
      </c>
      <c r="G76" s="28" t="inlineStr">
        <is>
          <t>-</t>
        </is>
      </c>
      <c r="H76" s="28" t="inlineStr">
        <is>
          <t>Secured</t>
        </is>
      </c>
      <c r="I76" s="28" t="inlineStr">
        <is>
          <t>ADMIN</t>
        </is>
      </c>
      <c r="J76" s="28" t="inlineStr">
        <is>
          <t>JWT required (Bearer)</t>
        </is>
      </c>
      <c r="K76" s="28" t="inlineStr">
        <is>
          <t>NotificationHandler.all()</t>
        </is>
      </c>
      <c r="L76" s="28" t="inlineStr">
        <is>
          <t>NotificationService.all()</t>
        </is>
      </c>
      <c r="M76" s="28" t="inlineStr">
        <is>
          <t>All notifications (paged, filter by type).</t>
        </is>
      </c>
      <c r="N76" s="28" t="inlineStr">
        <is>
          <t>DB read</t>
        </is>
      </c>
      <c r="O76" s="28" t="inlineStr">
        <is>
          <t>NotificationService.getAllNotifications</t>
        </is>
      </c>
      <c r="P76" s="28" t="inlineStr">
        <is>
          <t>/admin/notifications</t>
        </is>
      </c>
    </row>
    <row r="77" ht="52.5" customHeight="1" s="20">
      <c r="A77" s="28" t="inlineStr">
        <is>
          <t>EP-074</t>
        </is>
      </c>
      <c r="B77" s="28" t="inlineStr">
        <is>
          <t>Notification Service</t>
        </is>
      </c>
      <c r="C77" s="28" t="inlineStr">
        <is>
          <t>NOTIFICATION-SERVICE</t>
        </is>
      </c>
      <c r="D77" s="28" t="inlineStr">
        <is>
          <t>NotificationRouter</t>
        </is>
      </c>
      <c r="E77" s="29" t="inlineStr">
        <is>
          <t>PUT</t>
        </is>
      </c>
      <c r="F77" s="28" t="inlineStr">
        <is>
          <t>/api/notifications/admin/{notificationId}/read</t>
        </is>
      </c>
      <c r="G77" s="28" t="inlineStr">
        <is>
          <t>-</t>
        </is>
      </c>
      <c r="H77" s="28" t="inlineStr">
        <is>
          <t>Secured</t>
        </is>
      </c>
      <c r="I77" s="28" t="inlineStr">
        <is>
          <t>ADMIN</t>
        </is>
      </c>
      <c r="J77" s="28" t="inlineStr">
        <is>
          <t>JWT required (Bearer)</t>
        </is>
      </c>
      <c r="K77" s="28" t="inlineStr">
        <is>
          <t>NotificationHandler.adminRead()</t>
        </is>
      </c>
      <c r="L77" s="28" t="inlineStr">
        <is>
          <t>NotificationService.adminMarkRead()</t>
        </is>
      </c>
      <c r="M77" s="28" t="inlineStr">
        <is>
          <t>Mark any notification read.</t>
        </is>
      </c>
      <c r="N77" s="28" t="inlineStr">
        <is>
          <t>DB</t>
        </is>
      </c>
      <c r="O77" s="28" t="inlineStr">
        <is>
          <t>NotificationService.adminMarkAsRead</t>
        </is>
      </c>
      <c r="P77" s="28" t="inlineStr">
        <is>
          <t>/admin/notifications</t>
        </is>
      </c>
    </row>
    <row r="78" ht="70" customHeight="1" s="20">
      <c r="A78" s="28" t="inlineStr">
        <is>
          <t>EP-075</t>
        </is>
      </c>
      <c r="B78" s="28" t="inlineStr">
        <is>
          <t>Notification Service</t>
        </is>
      </c>
      <c r="C78" s="28" t="inlineStr">
        <is>
          <t>NOTIFICATION-SERVICE</t>
        </is>
      </c>
      <c r="D78" s="28" t="inlineStr">
        <is>
          <t>NotificationRouter</t>
        </is>
      </c>
      <c r="E78" s="29" t="inlineStr">
        <is>
          <t>DELETE</t>
        </is>
      </c>
      <c r="F78" s="28" t="inlineStr">
        <is>
          <t>/api/notifications/admin/{notificationId}</t>
        </is>
      </c>
      <c r="G78" s="28" t="inlineStr">
        <is>
          <t>-</t>
        </is>
      </c>
      <c r="H78" s="28" t="inlineStr">
        <is>
          <t>Secured</t>
        </is>
      </c>
      <c r="I78" s="28" t="inlineStr">
        <is>
          <t>ADMIN</t>
        </is>
      </c>
      <c r="J78" s="28" t="inlineStr">
        <is>
          <t>JWT required (Bearer)</t>
        </is>
      </c>
      <c r="K78" s="28" t="inlineStr">
        <is>
          <t>NotificationHandler.adminDelete()</t>
        </is>
      </c>
      <c r="L78" s="28" t="inlineStr">
        <is>
          <t>NotificationService.adminDelete()</t>
        </is>
      </c>
      <c r="M78" s="28" t="inlineStr">
        <is>
          <t>Delete any notification.</t>
        </is>
      </c>
      <c r="N78" s="28" t="inlineStr">
        <is>
          <t>DB</t>
        </is>
      </c>
      <c r="O78" s="28" t="inlineStr">
        <is>
          <t>NotificationService.adminDelete</t>
        </is>
      </c>
      <c r="P78" s="28" t="inlineStr">
        <is>
          <t>/admin/notifications</t>
        </is>
      </c>
    </row>
    <row r="79" ht="70" customHeight="1" s="20">
      <c r="A79" s="28" t="inlineStr">
        <is>
          <t>EP-076</t>
        </is>
      </c>
      <c r="B79" s="28" t="inlineStr">
        <is>
          <t>Product &amp; Policy Service</t>
        </is>
      </c>
      <c r="C79" s="28" t="inlineStr">
        <is>
          <t>PRODUCT-SERVICE</t>
        </is>
      </c>
      <c r="D79" s="28" t="inlineStr">
        <is>
          <t>InternalPolicyRouter</t>
        </is>
      </c>
      <c r="E79" s="29" t="inlineStr">
        <is>
          <t>GET</t>
        </is>
      </c>
      <c r="F79" s="28" t="inlineStr">
        <is>
          <t>/internal/policies/active-for-trigger</t>
        </is>
      </c>
      <c r="G79" s="28" t="inlineStr">
        <is>
          <t>application/json</t>
        </is>
      </c>
      <c r="H79" s="28" t="inlineStr">
        <is>
          <t>Internal</t>
        </is>
      </c>
      <c r="I79" s="28" t="inlineStr">
        <is>
          <t>INTERNAL</t>
        </is>
      </c>
      <c r="J79" s="28" t="inlineStr">
        <is>
          <t>Routed by gateway (product-policy-service-route) - JWT required; normally called service-to-service</t>
        </is>
      </c>
      <c r="K79" s="28" t="inlineStr">
        <is>
          <t>InternalPolicyHandler.getEligiblePolicies()</t>
        </is>
      </c>
      <c r="L79" s="28" t="inlineStr">
        <is>
          <t>ProductService.getEligiblePoliciesForEvent()</t>
        </is>
      </c>
      <c r="M79" s="28" t="inlineStr">
        <is>
          <t>ACTIVE policies of a product in a zone whose coverage period overlaps the event window, each with its captured trigger snapshot.</t>
        </is>
      </c>
      <c r="N79" s="28" t="inlineStr">
        <is>
          <t>DB read: policies, policy_trigger_snapshots</t>
        </is>
      </c>
      <c r="O79" s="28" t="inlineStr">
        <is>
          <t>(service-to-service)</t>
        </is>
      </c>
      <c r="P79" s="28" t="inlineStr">
        <is>
          <t>-</t>
        </is>
      </c>
    </row>
    <row r="80" ht="35" customHeight="1" s="20">
      <c r="A80" s="28" t="inlineStr">
        <is>
          <t>EP-077</t>
        </is>
      </c>
      <c r="B80" s="28" t="inlineStr">
        <is>
          <t>Product &amp; Policy Service</t>
        </is>
      </c>
      <c r="C80" s="28" t="inlineStr">
        <is>
          <t>PRODUCT-SERVICE</t>
        </is>
      </c>
      <c r="D80" s="28" t="inlineStr">
        <is>
          <t>InternalPolicyRouter</t>
        </is>
      </c>
      <c r="E80" s="29" t="inlineStr">
        <is>
          <t>GET</t>
        </is>
      </c>
      <c r="F80" s="28" t="inlineStr">
        <is>
          <t>/internal/policies/zone/{zoneId}/has-active</t>
        </is>
      </c>
      <c r="G80" s="28" t="inlineStr">
        <is>
          <t>application/json</t>
        </is>
      </c>
      <c r="H80" s="28" t="inlineStr">
        <is>
          <t>Internal</t>
        </is>
      </c>
      <c r="I80" s="28" t="inlineStr">
        <is>
          <t>INTERNAL</t>
        </is>
      </c>
      <c r="J80" s="28" t="inlineStr">
        <is>
          <t>Routed by gateway (product-policy-service-route) - JWT required; normally called service-to-service</t>
        </is>
      </c>
      <c r="K80" s="28" t="inlineStr">
        <is>
          <t>InternalPolicyHandler.hasActivePoliciesForZone()</t>
        </is>
      </c>
      <c r="L80" s="28" t="inlineStr">
        <is>
          <t>ProductService.hasActivePoliciesForZone()</t>
        </is>
      </c>
      <c r="M80" s="28" t="inlineStr">
        <is>
          <t>Whether any ACTIVE policy exists in a zone (Trigger-Svc blocks archiving such zones).</t>
        </is>
      </c>
      <c r="N80" s="28" t="inlineStr">
        <is>
          <t>DB read</t>
        </is>
      </c>
      <c r="O80" s="28" t="inlineStr">
        <is>
          <t>(service-to-service)</t>
        </is>
      </c>
      <c r="P80" s="28" t="inlineStr">
        <is>
          <t>-</t>
        </is>
      </c>
    </row>
    <row r="81" ht="35" customHeight="1" s="20">
      <c r="A81" s="28" t="inlineStr">
        <is>
          <t>EP-078</t>
        </is>
      </c>
      <c r="B81" s="28" t="inlineStr">
        <is>
          <t>Product &amp; Policy Service</t>
        </is>
      </c>
      <c r="C81" s="28" t="inlineStr">
        <is>
          <t>PRODUCT-SERVICE</t>
        </is>
      </c>
      <c r="D81" s="28" t="inlineStr">
        <is>
          <t>PolicyLifecycleRouter</t>
        </is>
      </c>
      <c r="E81" s="29" t="inlineStr">
        <is>
          <t>POST</t>
        </is>
      </c>
      <c r="F81" s="28" t="inlineStr">
        <is>
          <t>/api/policies/{policyId}/renew</t>
        </is>
      </c>
      <c r="G81" s="28" t="inlineStr">
        <is>
          <t>-</t>
        </is>
      </c>
      <c r="H81" s="28" t="inlineStr">
        <is>
          <t>Secured</t>
        </is>
      </c>
      <c r="I81" s="28" t="inlineStr">
        <is>
          <t>CUSTOMER</t>
        </is>
      </c>
      <c r="J81" s="28" t="inlineStr">
        <is>
          <t>JWT required (Bearer)</t>
        </is>
      </c>
      <c r="K81" s="28" t="inlineStr">
        <is>
          <t>PolicyLifecycleHandler.renew()</t>
        </is>
      </c>
      <c r="L81" s="28" t="inlineStr">
        <is>
          <t>PolicyService.renewPolicy()</t>
        </is>
      </c>
      <c r="M81" s="28" t="inlineStr">
        <is>
          <t>Renew an ACTIVE/EXPIRED policy: creates a new PENDING application linked via renewedFromPolicyId.</t>
        </is>
      </c>
      <c r="N81" s="28" t="inlineStr">
        <is>
          <t>Same chain as POST /api/policies (pricing via Financial-Svc)</t>
        </is>
      </c>
      <c r="O81" s="28" t="inlineStr">
        <is>
          <t>PolicyService.renewPolicy</t>
        </is>
      </c>
      <c r="P81" s="28" t="inlineStr">
        <is>
          <t>/customer/policies/:policyId</t>
        </is>
      </c>
    </row>
    <row r="82" ht="35" customHeight="1" s="20">
      <c r="A82" s="28" t="inlineStr">
        <is>
          <t>EP-079</t>
        </is>
      </c>
      <c r="B82" s="28" t="inlineStr">
        <is>
          <t>Product &amp; Policy Service</t>
        </is>
      </c>
      <c r="C82" s="28" t="inlineStr">
        <is>
          <t>PRODUCT-SERVICE</t>
        </is>
      </c>
      <c r="D82" s="28" t="inlineStr">
        <is>
          <t>PolicyLifecycleRouter</t>
        </is>
      </c>
      <c r="E82" s="29" t="inlineStr">
        <is>
          <t>PUT</t>
        </is>
      </c>
      <c r="F82" s="28" t="inlineStr">
        <is>
          <t>/api/policies/{policyId}/auto-renew</t>
        </is>
      </c>
      <c r="G82" s="28" t="inlineStr">
        <is>
          <t>application/json</t>
        </is>
      </c>
      <c r="H82" s="28" t="inlineStr">
        <is>
          <t>Secured</t>
        </is>
      </c>
      <c r="I82" s="28" t="inlineStr">
        <is>
          <t>CUSTOMER</t>
        </is>
      </c>
      <c r="J82" s="28" t="inlineStr">
        <is>
          <t>JWT required (Bearer)</t>
        </is>
      </c>
      <c r="K82" s="28" t="inlineStr">
        <is>
          <t>PolicyLifecycleHandler.autoRenew()</t>
        </is>
      </c>
      <c r="L82" s="28" t="inlineStr">
        <is>
          <t>PolicyService.setAutoRenew()</t>
        </is>
      </c>
      <c r="M82" s="28" t="inlineStr">
        <is>
          <t>Turn auto-renew on/off. Daily scheduler creates renewals 14 days before end date.</t>
        </is>
      </c>
      <c r="N82" s="28" t="inlineStr">
        <is>
          <t>DB: policies</t>
        </is>
      </c>
      <c r="O82" s="28" t="inlineStr">
        <is>
          <t>PolicyService.setAutoRenew</t>
        </is>
      </c>
      <c r="P82" s="28" t="inlineStr">
        <is>
          <t>/customer/policies/:policyId</t>
        </is>
      </c>
    </row>
    <row r="83" ht="70" customHeight="1" s="20">
      <c r="A83" s="28" t="inlineStr">
        <is>
          <t>EP-080</t>
        </is>
      </c>
      <c r="B83" s="28" t="inlineStr">
        <is>
          <t>Product &amp; Policy Service</t>
        </is>
      </c>
      <c r="C83" s="28" t="inlineStr">
        <is>
          <t>PRODUCT-SERVICE</t>
        </is>
      </c>
      <c r="D83" s="28" t="inlineStr">
        <is>
          <t>PolicyLifecycleRouter</t>
        </is>
      </c>
      <c r="E83" s="29" t="inlineStr">
        <is>
          <t>GET</t>
        </is>
      </c>
      <c r="F83" s="28" t="inlineStr">
        <is>
          <t>/api/policies/{policyId}/certificate</t>
        </is>
      </c>
      <c r="G83" s="28" t="inlineStr">
        <is>
          <t>-</t>
        </is>
      </c>
      <c r="H83" s="28" t="inlineStr">
        <is>
          <t>Secured</t>
        </is>
      </c>
      <c r="I83" s="28" t="inlineStr">
        <is>
          <t>CUSTOMER</t>
        </is>
      </c>
      <c r="J83" s="28" t="inlineStr">
        <is>
          <t>JWT required (Bearer)</t>
        </is>
      </c>
      <c r="K83" s="28" t="inlineStr">
        <is>
          <t>PolicyLifecycleHandler.customerCertificate()</t>
        </is>
      </c>
      <c r="L83" s="28" t="inlineStr">
        <is>
          <t>PolicyCertificateService.forCustomer()</t>
        </is>
      </c>
      <c r="M83" s="28" t="inlineStr">
        <is>
          <t>Download my policy certificate (PDF).</t>
        </is>
      </c>
      <c r="N83" s="28" t="inlineStr">
        <is>
          <t>Trigger-Svc GET /internal/triggers/zones/{zoneId} (zone name on certificate)</t>
        </is>
      </c>
      <c r="O83" s="28" t="inlineStr">
        <is>
          <t>PolicyService.downloadCertificate</t>
        </is>
      </c>
      <c r="P83" s="28" t="inlineStr">
        <is>
          <t>/customer/policies/:policyId</t>
        </is>
      </c>
    </row>
    <row r="84" ht="70" customHeight="1" s="20">
      <c r="A84" s="28" t="inlineStr">
        <is>
          <t>EP-081</t>
        </is>
      </c>
      <c r="B84" s="28" t="inlineStr">
        <is>
          <t>Product &amp; Policy Service</t>
        </is>
      </c>
      <c r="C84" s="28" t="inlineStr">
        <is>
          <t>PRODUCT-SERVICE</t>
        </is>
      </c>
      <c r="D84" s="28" t="inlineStr">
        <is>
          <t>PolicyLifecycleRouter</t>
        </is>
      </c>
      <c r="E84" s="29" t="inlineStr">
        <is>
          <t>GET</t>
        </is>
      </c>
      <c r="F84" s="28" t="inlineStr">
        <is>
          <t>/api/policies/admin/{policyId}/certificate</t>
        </is>
      </c>
      <c r="G84" s="28" t="inlineStr">
        <is>
          <t>-</t>
        </is>
      </c>
      <c r="H84" s="28" t="inlineStr">
        <is>
          <t>Secured</t>
        </is>
      </c>
      <c r="I84" s="28" t="inlineStr">
        <is>
          <t>ADMIN, UNDERWRITER</t>
        </is>
      </c>
      <c r="J84" s="28" t="inlineStr">
        <is>
          <t>JWT required (Bearer)</t>
        </is>
      </c>
      <c r="K84" s="28" t="inlineStr">
        <is>
          <t>PolicyLifecycleHandler.staffCertificate()</t>
        </is>
      </c>
      <c r="L84" s="28" t="inlineStr">
        <is>
          <t>PolicyCertificateService.forStaff()</t>
        </is>
      </c>
      <c r="M84" s="28" t="inlineStr">
        <is>
          <t>Download any policy certificate (PDF).</t>
        </is>
      </c>
      <c r="N84" s="28" t="inlineStr">
        <is>
          <t>Trigger-Svc GET /internal/triggers/zones/{zoneId}</t>
        </is>
      </c>
      <c r="O84" s="28" t="inlineStr">
        <is>
          <t>PolicyService.downloadAdminCertificate</t>
        </is>
      </c>
      <c r="P84" s="28" t="inlineStr">
        <is>
          <t>/admin/policies/:policyId</t>
        </is>
      </c>
    </row>
    <row r="85" ht="70" customHeight="1" s="20">
      <c r="A85" s="28" t="inlineStr">
        <is>
          <t>EP-082</t>
        </is>
      </c>
      <c r="B85" s="28" t="inlineStr">
        <is>
          <t>Product &amp; Policy Service</t>
        </is>
      </c>
      <c r="C85" s="28" t="inlineStr">
        <is>
          <t>PRODUCT-SERVICE</t>
        </is>
      </c>
      <c r="D85" s="28" t="inlineStr">
        <is>
          <t>PolicyRouter</t>
        </is>
      </c>
      <c r="E85" s="29" t="inlineStr">
        <is>
          <t>GET</t>
        </is>
      </c>
      <c r="F85" s="28" t="inlineStr">
        <is>
          <t>/internal/policies/{policyId}</t>
        </is>
      </c>
      <c r="G85" s="28" t="inlineStr">
        <is>
          <t>-</t>
        </is>
      </c>
      <c r="H85" s="28" t="inlineStr">
        <is>
          <t>Internal</t>
        </is>
      </c>
      <c r="I85" s="28" t="inlineStr">
        <is>
          <t>INTERNAL</t>
        </is>
      </c>
      <c r="J85" s="28" t="inlineStr">
        <is>
          <t>Routed by gateway (product-policy-service-route) - JWT required; normally called service-to-service</t>
        </is>
      </c>
      <c r="K85" s="28" t="inlineStr">
        <is>
          <t>PolicyHandler.getInternalPolicy()</t>
        </is>
      </c>
      <c r="L85" s="28" t="inlineStr">
        <is>
          <t>-</t>
        </is>
      </c>
      <c r="M85" s="28" t="inlineStr">
        <is>
          <t>Full policy + trigger snapshot for other services (claims validation, payments, receipts, certificates).</t>
        </is>
      </c>
      <c r="N85" s="28" t="inlineStr">
        <is>
          <t>DB read: policies, policy_trigger_snapshots</t>
        </is>
      </c>
      <c r="O85" s="28" t="inlineStr">
        <is>
          <t>(service-to-service)</t>
        </is>
      </c>
      <c r="P85" s="28" t="inlineStr">
        <is>
          <t>-</t>
        </is>
      </c>
    </row>
    <row r="86" ht="35" customHeight="1" s="20">
      <c r="A86" s="28" t="inlineStr">
        <is>
          <t>EP-083</t>
        </is>
      </c>
      <c r="B86" s="28" t="inlineStr">
        <is>
          <t>Product &amp; Policy Service</t>
        </is>
      </c>
      <c r="C86" s="28" t="inlineStr">
        <is>
          <t>PRODUCT-SERVICE</t>
        </is>
      </c>
      <c r="D86" s="28" t="inlineStr">
        <is>
          <t>PolicyRouter</t>
        </is>
      </c>
      <c r="E86" s="29" t="inlineStr">
        <is>
          <t>GET</t>
        </is>
      </c>
      <c r="F86" s="28" t="inlineStr">
        <is>
          <t>/api/policies/zones/active</t>
        </is>
      </c>
      <c r="G86" s="28" t="inlineStr">
        <is>
          <t>-</t>
        </is>
      </c>
      <c r="H86" s="28" t="inlineStr">
        <is>
          <t>Secured</t>
        </is>
      </c>
      <c r="I86" s="28" t="inlineStr">
        <is>
          <t>AUTHENTICATED</t>
        </is>
      </c>
      <c r="J86" s="28" t="inlineStr">
        <is>
          <t>JWT required (Bearer)</t>
        </is>
      </c>
      <c r="K86" s="28" t="inlineStr">
        <is>
          <t>PolicyHandler.getActiveZones()</t>
        </is>
      </c>
      <c r="L86" s="28" t="inlineStr">
        <is>
          <t>PolicyService.getActiveZones()</t>
        </is>
      </c>
      <c r="M86" s="28" t="inlineStr">
        <is>
          <t>Active location zones (proxied from Trigger-Svc) for the policy application form.</t>
        </is>
      </c>
      <c r="N86" s="28" t="inlineStr">
        <is>
          <t>Trigger-Svc GET /internal/triggers/zones/active</t>
        </is>
      </c>
      <c r="O86" s="28" t="inlineStr">
        <is>
          <t>(not called by SPA)</t>
        </is>
      </c>
      <c r="P86" s="28" t="inlineStr">
        <is>
          <t>-</t>
        </is>
      </c>
    </row>
    <row r="87" ht="35" customHeight="1" s="20">
      <c r="A87" s="28" t="inlineStr">
        <is>
          <t>EP-084</t>
        </is>
      </c>
      <c r="B87" s="28" t="inlineStr">
        <is>
          <t>Product &amp; Policy Service</t>
        </is>
      </c>
      <c r="C87" s="28" t="inlineStr">
        <is>
          <t>PRODUCT-SERVICE</t>
        </is>
      </c>
      <c r="D87" s="28" t="inlineStr">
        <is>
          <t>PolicyRouter</t>
        </is>
      </c>
      <c r="E87" s="29" t="inlineStr">
        <is>
          <t>GET</t>
        </is>
      </c>
      <c r="F87" s="28" t="inlineStr">
        <is>
          <t>/api/policies/admin/all</t>
        </is>
      </c>
      <c r="G87" s="28" t="inlineStr">
        <is>
          <t>-</t>
        </is>
      </c>
      <c r="H87" s="28" t="inlineStr">
        <is>
          <t>Secured</t>
        </is>
      </c>
      <c r="I87" s="28" t="inlineStr">
        <is>
          <t>ADMIN, UNDERWRITER</t>
        </is>
      </c>
      <c r="J87" s="28" t="inlineStr">
        <is>
          <t>JWT required (Bearer)</t>
        </is>
      </c>
      <c r="K87" s="28" t="inlineStr">
        <is>
          <t>PolicyHandler.getAllPolicies()</t>
        </is>
      </c>
      <c r="L87" s="28" t="inlineStr">
        <is>
          <t>PolicyService.getAllPolicies()</t>
        </is>
      </c>
      <c r="M87" s="28" t="inlineStr">
        <is>
          <t>All policies, filter by status / customerId.</t>
        </is>
      </c>
      <c r="N87" s="28" t="inlineStr">
        <is>
          <t>DB read</t>
        </is>
      </c>
      <c r="O87" s="28" t="inlineStr">
        <is>
          <t>PolicyService.getAllPolicies</t>
        </is>
      </c>
      <c r="P87" s="28" t="inlineStr">
        <is>
          <t>/admin/dashboard, /admin/policies, /admin/users/:userId, /admin/zone-map, /customer/zone-map, /underwriter/dashboard</t>
        </is>
      </c>
    </row>
    <row r="88" ht="87.5" customHeight="1" s="20">
      <c r="A88" s="28" t="inlineStr">
        <is>
          <t>EP-085</t>
        </is>
      </c>
      <c r="B88" s="28" t="inlineStr">
        <is>
          <t>Product &amp; Policy Service</t>
        </is>
      </c>
      <c r="C88" s="28" t="inlineStr">
        <is>
          <t>PRODUCT-SERVICE</t>
        </is>
      </c>
      <c r="D88" s="28" t="inlineStr">
        <is>
          <t>PolicyRouter</t>
        </is>
      </c>
      <c r="E88" s="29" t="inlineStr">
        <is>
          <t>GET</t>
        </is>
      </c>
      <c r="F88" s="28" t="inlineStr">
        <is>
          <t>/api/policies/admin/{policyId}</t>
        </is>
      </c>
      <c r="G88" s="28" t="inlineStr">
        <is>
          <t>-</t>
        </is>
      </c>
      <c r="H88" s="28" t="inlineStr">
        <is>
          <t>Secured</t>
        </is>
      </c>
      <c r="I88" s="28" t="inlineStr">
        <is>
          <t>ADMIN, UNDERWRITER</t>
        </is>
      </c>
      <c r="J88" s="28" t="inlineStr">
        <is>
          <t>JWT required (Bearer)</t>
        </is>
      </c>
      <c r="K88" s="28" t="inlineStr">
        <is>
          <t>PolicyHandler.getPolicy()</t>
        </is>
      </c>
      <c r="L88" s="28" t="inlineStr">
        <is>
          <t>-</t>
        </is>
      </c>
      <c r="M88" s="28" t="inlineStr">
        <is>
          <t>Any policy by id (staff view).</t>
        </is>
      </c>
      <c r="N88" s="28" t="inlineStr">
        <is>
          <t>DB read</t>
        </is>
      </c>
      <c r="O88" s="28" t="inlineStr">
        <is>
          <t>PolicyService.getPolicy</t>
        </is>
      </c>
      <c r="P88" s="28" t="inlineStr">
        <is>
          <t>/admin/claims/:claimId, /admin/policies/:policyId, /underwriter/policies/:policyId</t>
        </is>
      </c>
    </row>
    <row r="89" ht="52.5" customHeight="1" s="20">
      <c r="A89" s="28" t="inlineStr">
        <is>
          <t>EP-086</t>
        </is>
      </c>
      <c r="B89" s="28" t="inlineStr">
        <is>
          <t>Product &amp; Policy Service</t>
        </is>
      </c>
      <c r="C89" s="28" t="inlineStr">
        <is>
          <t>PRODUCT-SERVICE</t>
        </is>
      </c>
      <c r="D89" s="28" t="inlineStr">
        <is>
          <t>PolicyRouter</t>
        </is>
      </c>
      <c r="E89" s="29" t="inlineStr">
        <is>
          <t>GET</t>
        </is>
      </c>
      <c r="F89" s="28" t="inlineStr">
        <is>
          <t>/api/policies/review/pending</t>
        </is>
      </c>
      <c r="G89" s="28" t="inlineStr">
        <is>
          <t>-</t>
        </is>
      </c>
      <c r="H89" s="28" t="inlineStr">
        <is>
          <t>Secured</t>
        </is>
      </c>
      <c r="I89" s="28" t="inlineStr">
        <is>
          <t>UNDERWRITER, ADMIN</t>
        </is>
      </c>
      <c r="J89" s="28" t="inlineStr">
        <is>
          <t>JWT required (Bearer)</t>
        </is>
      </c>
      <c r="K89" s="28" t="inlineStr">
        <is>
          <t>PolicyHandler.getPendingPolicies()</t>
        </is>
      </c>
      <c r="L89" s="28" t="inlineStr">
        <is>
          <t>PolicyService.getPendingPolicies()</t>
        </is>
      </c>
      <c r="M89" s="28" t="inlineStr">
        <is>
          <t>Underwriting queue: all PENDING policy applications.</t>
        </is>
      </c>
      <c r="N89" s="28" t="inlineStr">
        <is>
          <t>DB read</t>
        </is>
      </c>
      <c r="O89" s="28" t="inlineStr">
        <is>
          <t>PolicyService.getPendingPolicies</t>
        </is>
      </c>
      <c r="P89" s="28" t="inlineStr">
        <is>
          <t>/underwriter/dashboard, /underwriter/policies</t>
        </is>
      </c>
    </row>
    <row r="90" ht="52.5" customHeight="1" s="20">
      <c r="A90" s="28" t="inlineStr">
        <is>
          <t>EP-087</t>
        </is>
      </c>
      <c r="B90" s="28" t="inlineStr">
        <is>
          <t>Product &amp; Policy Service</t>
        </is>
      </c>
      <c r="C90" s="28" t="inlineStr">
        <is>
          <t>PRODUCT-SERVICE</t>
        </is>
      </c>
      <c r="D90" s="28" t="inlineStr">
        <is>
          <t>PolicyRouter</t>
        </is>
      </c>
      <c r="E90" s="29" t="inlineStr">
        <is>
          <t>GET</t>
        </is>
      </c>
      <c r="F90" s="28" t="inlineStr">
        <is>
          <t>/api/policies/review/history</t>
        </is>
      </c>
      <c r="G90" s="28" t="inlineStr">
        <is>
          <t>-</t>
        </is>
      </c>
      <c r="H90" s="28" t="inlineStr">
        <is>
          <t>Secured</t>
        </is>
      </c>
      <c r="I90" s="28" t="inlineStr">
        <is>
          <t>UNDERWRITER, ADMIN</t>
        </is>
      </c>
      <c r="J90" s="28" t="inlineStr">
        <is>
          <t>JWT required (Bearer)</t>
        </is>
      </c>
      <c r="K90" s="28" t="inlineStr">
        <is>
          <t>PolicyHandler.getReviewHistory()</t>
        </is>
      </c>
      <c r="L90" s="28" t="inlineStr">
        <is>
          <t>PolicyService.getReviewHistory()</t>
        </is>
      </c>
      <c r="M90" s="28" t="inlineStr">
        <is>
          <t>Approve/reject decisions made by the calling underwriter.</t>
        </is>
      </c>
      <c r="N90" s="28" t="inlineStr">
        <is>
          <t>DB read: policy_status_history, policies</t>
        </is>
      </c>
      <c r="O90" s="28" t="inlineStr">
        <is>
          <t>PolicyService.getReviewHistory</t>
        </is>
      </c>
      <c r="P90" s="28" t="inlineStr">
        <is>
          <t>/underwriter/history</t>
        </is>
      </c>
    </row>
    <row r="91" ht="52.5" customHeight="1" s="20">
      <c r="A91" s="28" t="inlineStr">
        <is>
          <t>EP-088</t>
        </is>
      </c>
      <c r="B91" s="28" t="inlineStr">
        <is>
          <t>Product &amp; Policy Service</t>
        </is>
      </c>
      <c r="C91" s="28" t="inlineStr">
        <is>
          <t>PRODUCT-SERVICE</t>
        </is>
      </c>
      <c r="D91" s="28" t="inlineStr">
        <is>
          <t>PolicyRouter</t>
        </is>
      </c>
      <c r="E91" s="29" t="inlineStr">
        <is>
          <t>GET</t>
        </is>
      </c>
      <c r="F91" s="28" t="inlineStr">
        <is>
          <t>/api/policies/me</t>
        </is>
      </c>
      <c r="G91" s="28" t="inlineStr">
        <is>
          <t>-</t>
        </is>
      </c>
      <c r="H91" s="28" t="inlineStr">
        <is>
          <t>Secured</t>
        </is>
      </c>
      <c r="I91" s="28" t="inlineStr">
        <is>
          <t>CUSTOMER</t>
        </is>
      </c>
      <c r="J91" s="28" t="inlineStr">
        <is>
          <t>JWT required (Bearer)</t>
        </is>
      </c>
      <c r="K91" s="28" t="inlineStr">
        <is>
          <t>PolicyHandler.getMyPolicies()</t>
        </is>
      </c>
      <c r="L91" s="28" t="inlineStr">
        <is>
          <t>PolicyService.getMyPolicies()</t>
        </is>
      </c>
      <c r="M91" s="28" t="inlineStr">
        <is>
          <t>My policies (optional status filter).</t>
        </is>
      </c>
      <c r="N91" s="28" t="inlineStr">
        <is>
          <t>DB read</t>
        </is>
      </c>
      <c r="O91" s="28" t="inlineStr">
        <is>
          <t>PolicyService.getMyPolicies</t>
        </is>
      </c>
      <c r="P91" s="28" t="inlineStr">
        <is>
          <t>/admin/zone-map, /customer/claims/new, /customer/dashboard, /customer/payments, /customer/policies, /customer/zone-map</t>
        </is>
      </c>
    </row>
    <row r="92" ht="52.5" customHeight="1" s="20">
      <c r="A92" s="28" t="inlineStr">
        <is>
          <t>EP-089</t>
        </is>
      </c>
      <c r="B92" s="28" t="inlineStr">
        <is>
          <t>Product &amp; Policy Service</t>
        </is>
      </c>
      <c r="C92" s="28" t="inlineStr">
        <is>
          <t>PRODUCT-SERVICE</t>
        </is>
      </c>
      <c r="D92" s="28" t="inlineStr">
        <is>
          <t>PolicyRouter</t>
        </is>
      </c>
      <c r="E92" s="29" t="inlineStr">
        <is>
          <t>GET</t>
        </is>
      </c>
      <c r="F92" s="28" t="inlineStr">
        <is>
          <t>/api/policies/{policyId}</t>
        </is>
      </c>
      <c r="G92" s="28" t="inlineStr">
        <is>
          <t>-</t>
        </is>
      </c>
      <c r="H92" s="28" t="inlineStr">
        <is>
          <t>Secured</t>
        </is>
      </c>
      <c r="I92" s="28" t="inlineStr">
        <is>
          <t>CUSTOMER</t>
        </is>
      </c>
      <c r="J92" s="28" t="inlineStr">
        <is>
          <t>JWT required (Bearer)</t>
        </is>
      </c>
      <c r="K92" s="28" t="inlineStr">
        <is>
          <t>PolicyHandler.getMyPolicy()</t>
        </is>
      </c>
      <c r="L92" s="28" t="inlineStr">
        <is>
          <t>PolicyService.getMyPolicy()</t>
        </is>
      </c>
      <c r="M92" s="28" t="inlineStr">
        <is>
          <t>One of my policies.</t>
        </is>
      </c>
      <c r="N92" s="28" t="inlineStr">
        <is>
          <t>DB read</t>
        </is>
      </c>
      <c r="O92" s="28" t="inlineStr">
        <is>
          <t>PolicyService.getMyPolicy</t>
        </is>
      </c>
      <c r="P92" s="28" t="inlineStr">
        <is>
          <t>/customer/policies, /customer/policies/:policyId</t>
        </is>
      </c>
    </row>
    <row r="93" ht="35" customHeight="1" s="20">
      <c r="A93" s="28" t="inlineStr">
        <is>
          <t>EP-090</t>
        </is>
      </c>
      <c r="B93" s="28" t="inlineStr">
        <is>
          <t>Product &amp; Policy Service</t>
        </is>
      </c>
      <c r="C93" s="28" t="inlineStr">
        <is>
          <t>PRODUCT-SERVICE</t>
        </is>
      </c>
      <c r="D93" s="28" t="inlineStr">
        <is>
          <t>PolicyRouter</t>
        </is>
      </c>
      <c r="E93" s="29" t="inlineStr">
        <is>
          <t>POST</t>
        </is>
      </c>
      <c r="F93" s="28" t="inlineStr">
        <is>
          <t>/api/policies</t>
        </is>
      </c>
      <c r="G93" s="28" t="inlineStr">
        <is>
          <t>-</t>
        </is>
      </c>
      <c r="H93" s="28" t="inlineStr">
        <is>
          <t>Secured</t>
        </is>
      </c>
      <c r="I93" s="28" t="inlineStr">
        <is>
          <t>CUSTOMER</t>
        </is>
      </c>
      <c r="J93" s="28" t="inlineStr">
        <is>
          <t>JWT required (Bearer)</t>
        </is>
      </c>
      <c r="K93" s="28" t="inlineStr">
        <is>
          <t>PolicyHandler.createPolicy()</t>
        </is>
      </c>
      <c r="L93" s="28" t="inlineStr">
        <is>
          <t>PolicyService.createPolicy()</t>
        </is>
      </c>
      <c r="M93" s="28" t="inlineStr">
        <is>
          <t>Apply for a policy on an ACTIVE product. Validates sum insured / term limits, no duplicate PENDING application. Premium = accepted quote premium (if quoteId) else Financial pricing rule else flat temporary rate. Captures a trigger snapshot and consumes the quote.</t>
        </is>
      </c>
      <c r="N93" s="28" t="inlineStr">
        <is>
          <t>Financial-Svc POST /internal/financial/quotes/{quoteId}/validate (if quote) | Financial-Svc POST /internal/financial/pricing/calculate (no quote) | Financial-Svc PUT /internal/financial/quotes/{quoteId}/consume | DB: policies, policy_trigger_snapshots, policy_status_history | Notification-Svc POST /internal/notifications (POLICY_SUBMITTED to customer, pending-review to underwriters)</t>
        </is>
      </c>
      <c r="O93" s="28" t="inlineStr">
        <is>
          <t>PolicyService.createPolicy</t>
        </is>
      </c>
      <c r="P93" s="28" t="inlineStr">
        <is>
          <t>/customer/policies/new</t>
        </is>
      </c>
    </row>
    <row r="94" ht="35" customHeight="1" s="20">
      <c r="A94" s="28" t="inlineStr">
        <is>
          <t>EP-091</t>
        </is>
      </c>
      <c r="B94" s="28" t="inlineStr">
        <is>
          <t>Product &amp; Policy Service</t>
        </is>
      </c>
      <c r="C94" s="28" t="inlineStr">
        <is>
          <t>PRODUCT-SERVICE</t>
        </is>
      </c>
      <c r="D94" s="28" t="inlineStr">
        <is>
          <t>PolicyRouter</t>
        </is>
      </c>
      <c r="E94" s="29" t="inlineStr">
        <is>
          <t>POST</t>
        </is>
      </c>
      <c r="F94" s="28" t="inlineStr">
        <is>
          <t>/api/policies/custom</t>
        </is>
      </c>
      <c r="G94" s="28" t="inlineStr">
        <is>
          <t>-</t>
        </is>
      </c>
      <c r="H94" s="28" t="inlineStr">
        <is>
          <t>Secured</t>
        </is>
      </c>
      <c r="I94" s="28" t="inlineStr">
        <is>
          <t>CUSTOMER</t>
        </is>
      </c>
      <c r="J94" s="28" t="inlineStr">
        <is>
          <t>JWT required (Bearer)</t>
        </is>
      </c>
      <c r="K94" s="28" t="inlineStr">
        <is>
          <t>PolicyHandler.createCustomPolicy()</t>
        </is>
      </c>
      <c r="L94" s="28" t="inlineStr">
        <is>
          <t>PolicyService.createCustomPolicy()</t>
        </is>
      </c>
      <c r="M94" s="28" t="inlineStr">
        <is>
          <t>Customer-defined parametric cover: creates a customer-defined product (code CUSTOM-&lt;customerId&gt;-XXXX) with the customer's own trigger, syncs its trigger definition, then applies for a policy on it.</t>
        </is>
      </c>
      <c r="N94" s="28" t="inlineStr">
        <is>
          <t>Trigger-Svc PUT /internal/triggers/products/{productId}/definition | then same chain as POST /api/policies</t>
        </is>
      </c>
      <c r="O94" s="28" t="inlineStr">
        <is>
          <t>PolicyService.createCustomPolicy</t>
        </is>
      </c>
      <c r="P94" s="28" t="inlineStr">
        <is>
          <t>/customer/policies/new</t>
        </is>
      </c>
    </row>
    <row r="95" ht="35" customHeight="1" s="20">
      <c r="A95" s="28" t="inlineStr">
        <is>
          <t>EP-092</t>
        </is>
      </c>
      <c r="B95" s="28" t="inlineStr">
        <is>
          <t>Product &amp; Policy Service</t>
        </is>
      </c>
      <c r="C95" s="28" t="inlineStr">
        <is>
          <t>PRODUCT-SERVICE</t>
        </is>
      </c>
      <c r="D95" s="28" t="inlineStr">
        <is>
          <t>PolicyRouter</t>
        </is>
      </c>
      <c r="E95" s="29" t="inlineStr">
        <is>
          <t>PUT</t>
        </is>
      </c>
      <c r="F95" s="28" t="inlineStr">
        <is>
          <t>/api/policies/{policyId}/cancel</t>
        </is>
      </c>
      <c r="G95" s="28" t="inlineStr">
        <is>
          <t>-</t>
        </is>
      </c>
      <c r="H95" s="28" t="inlineStr">
        <is>
          <t>Secured</t>
        </is>
      </c>
      <c r="I95" s="28" t="inlineStr">
        <is>
          <t>CUSTOMER</t>
        </is>
      </c>
      <c r="J95" s="28" t="inlineStr">
        <is>
          <t>JWT required (Bearer)</t>
        </is>
      </c>
      <c r="K95" s="28" t="inlineStr">
        <is>
          <t>PolicyHandler.cancelPolicy()</t>
        </is>
      </c>
      <c r="L95" s="28" t="inlineStr">
        <is>
          <t>PolicyService.cancelPolicy()</t>
        </is>
      </c>
      <c r="M95" s="28" t="inlineStr">
        <is>
          <t>Cancel my PENDING application (PENDING -&gt; CANCELLED).</t>
        </is>
      </c>
      <c r="N95" s="28" t="inlineStr">
        <is>
          <t>DB: policies, policy_status_history | Notification-Svc POST /internal/notifications (POLICY_CANCELLED)</t>
        </is>
      </c>
      <c r="O95" s="28" t="inlineStr">
        <is>
          <t>PolicyService.cancelPolicy</t>
        </is>
      </c>
      <c r="P95" s="28" t="inlineStr">
        <is>
          <t>/customer/policies, /customer/policies/:policyId</t>
        </is>
      </c>
    </row>
    <row r="96" ht="35" customHeight="1" s="20">
      <c r="A96" s="28" t="inlineStr">
        <is>
          <t>EP-093</t>
        </is>
      </c>
      <c r="B96" s="28" t="inlineStr">
        <is>
          <t>Product &amp; Policy Service</t>
        </is>
      </c>
      <c r="C96" s="28" t="inlineStr">
        <is>
          <t>PRODUCT-SERVICE</t>
        </is>
      </c>
      <c r="D96" s="28" t="inlineStr">
        <is>
          <t>PolicyRouter</t>
        </is>
      </c>
      <c r="E96" s="29" t="inlineStr">
        <is>
          <t>PUT</t>
        </is>
      </c>
      <c r="F96" s="28" t="inlineStr">
        <is>
          <t>/api/policies/{policyId}/approve</t>
        </is>
      </c>
      <c r="G96" s="28" t="inlineStr">
        <is>
          <t>-</t>
        </is>
      </c>
      <c r="H96" s="28" t="inlineStr">
        <is>
          <t>Secured</t>
        </is>
      </c>
      <c r="I96" s="28" t="inlineStr">
        <is>
          <t>UNDERWRITER, ADMIN</t>
        </is>
      </c>
      <c r="J96" s="28" t="inlineStr">
        <is>
          <t>JWT required (Bearer)</t>
        </is>
      </c>
      <c r="K96" s="28" t="inlineStr">
        <is>
          <t>PolicyHandler.approvePolicy()</t>
        </is>
      </c>
      <c r="L96" s="28" t="inlineStr">
        <is>
          <t>PolicyService.approvePolicy()</t>
        </is>
      </c>
      <c r="M96" s="28" t="inlineStr">
        <is>
          <t>Approve a PENDING application: status ACTIVE, start date (today or day after renewed policy ends), end date = start + term.</t>
        </is>
      </c>
      <c r="N96" s="28" t="inlineStr">
        <is>
          <t>DB: policies, policy_status_history | Notification-Svc POST /internal/notifications (POLICY_APPROVED)</t>
        </is>
      </c>
      <c r="O96" s="28" t="inlineStr">
        <is>
          <t>PolicyService.approvePolicy</t>
        </is>
      </c>
      <c r="P96" s="28" t="inlineStr">
        <is>
          <t>/underwriter/policies/:policyId</t>
        </is>
      </c>
    </row>
    <row r="97" ht="35" customHeight="1" s="20">
      <c r="A97" s="28" t="inlineStr">
        <is>
          <t>EP-094</t>
        </is>
      </c>
      <c r="B97" s="28" t="inlineStr">
        <is>
          <t>Product &amp; Policy Service</t>
        </is>
      </c>
      <c r="C97" s="28" t="inlineStr">
        <is>
          <t>PRODUCT-SERVICE</t>
        </is>
      </c>
      <c r="D97" s="28" t="inlineStr">
        <is>
          <t>PolicyRouter</t>
        </is>
      </c>
      <c r="E97" s="29" t="inlineStr">
        <is>
          <t>PUT</t>
        </is>
      </c>
      <c r="F97" s="28" t="inlineStr">
        <is>
          <t>/api/policies/{policyId}/reject</t>
        </is>
      </c>
      <c r="G97" s="28" t="inlineStr">
        <is>
          <t>-</t>
        </is>
      </c>
      <c r="H97" s="28" t="inlineStr">
        <is>
          <t>Secured</t>
        </is>
      </c>
      <c r="I97" s="28" t="inlineStr">
        <is>
          <t>UNDERWRITER, ADMIN</t>
        </is>
      </c>
      <c r="J97" s="28" t="inlineStr">
        <is>
          <t>JWT required (Bearer)</t>
        </is>
      </c>
      <c r="K97" s="28" t="inlineStr">
        <is>
          <t>PolicyHandler.rejectPolicy()</t>
        </is>
      </c>
      <c r="L97" s="28" t="inlineStr">
        <is>
          <t>PolicyService.rejectPolicy()</t>
        </is>
      </c>
      <c r="M97" s="28" t="inlineStr">
        <is>
          <t>Reject a PENDING application with a mandatory reason (&lt;=500 chars).</t>
        </is>
      </c>
      <c r="N97" s="28" t="inlineStr">
        <is>
          <t>DB: policies, policy_status_history | Notification-Svc POST /internal/notifications (POLICY_REJECTED)</t>
        </is>
      </c>
      <c r="O97" s="28" t="inlineStr">
        <is>
          <t>PolicyService.rejectPolicy</t>
        </is>
      </c>
      <c r="P97" s="28" t="inlineStr">
        <is>
          <t>/underwriter/policies/:policyId</t>
        </is>
      </c>
    </row>
    <row r="98" ht="35" customHeight="1" s="20">
      <c r="A98" s="28" t="inlineStr">
        <is>
          <t>EP-095</t>
        </is>
      </c>
      <c r="B98" s="28" t="inlineStr">
        <is>
          <t>Product &amp; Policy Service</t>
        </is>
      </c>
      <c r="C98" s="28" t="inlineStr">
        <is>
          <t>PRODUCT-SERVICE</t>
        </is>
      </c>
      <c r="D98" s="28" t="inlineStr">
        <is>
          <t>PolicyRouter</t>
        </is>
      </c>
      <c r="E98" s="29" t="inlineStr">
        <is>
          <t>GET</t>
        </is>
      </c>
      <c r="F98" s="28" t="inlineStr">
        <is>
          <t>/api/policies/{policyId}/history</t>
        </is>
      </c>
      <c r="G98" s="28" t="inlineStr">
        <is>
          <t>-</t>
        </is>
      </c>
      <c r="H98" s="28" t="inlineStr">
        <is>
          <t>Secured</t>
        </is>
      </c>
      <c r="I98" s="28" t="inlineStr">
        <is>
          <t>CUSTOMER, UNDERWRITER, ADMIN</t>
        </is>
      </c>
      <c r="J98" s="28" t="inlineStr">
        <is>
          <t>JWT required (Bearer)</t>
        </is>
      </c>
      <c r="K98" s="28" t="inlineStr">
        <is>
          <t>PolicyHandler.getPolicyHistory()</t>
        </is>
      </c>
      <c r="L98" s="28" t="inlineStr">
        <is>
          <t>PolicyService.getPolicyHistory()</t>
        </is>
      </c>
      <c r="M98" s="28" t="inlineStr">
        <is>
          <t>Status history of a policy.</t>
        </is>
      </c>
      <c r="N98" s="28" t="inlineStr">
        <is>
          <t>DB read: policy_status_history</t>
        </is>
      </c>
      <c r="O98" s="28" t="inlineStr">
        <is>
          <t>PolicyService.getPolicyHistory</t>
        </is>
      </c>
      <c r="P98" s="28" t="inlineStr">
        <is>
          <t>-</t>
        </is>
      </c>
    </row>
    <row r="99" ht="35" customHeight="1" s="20">
      <c r="A99" s="28" t="inlineStr">
        <is>
          <t>EP-096</t>
        </is>
      </c>
      <c r="B99" s="28" t="inlineStr">
        <is>
          <t>Product &amp; Policy Service</t>
        </is>
      </c>
      <c r="C99" s="28" t="inlineStr">
        <is>
          <t>PRODUCT-SERVICE</t>
        </is>
      </c>
      <c r="D99" s="28" t="inlineStr">
        <is>
          <t>PolicyRouter</t>
        </is>
      </c>
      <c r="E99" s="29" t="inlineStr">
        <is>
          <t>GET</t>
        </is>
      </c>
      <c r="F99" s="28" t="inlineStr">
        <is>
          <t>/api/policies/{policyId}/snapshot</t>
        </is>
      </c>
      <c r="G99" s="28" t="inlineStr">
        <is>
          <t>-</t>
        </is>
      </c>
      <c r="H99" s="28" t="inlineStr">
        <is>
          <t>Secured</t>
        </is>
      </c>
      <c r="I99" s="28" t="inlineStr">
        <is>
          <t>CUSTOMER, UNDERWRITER, ADMIN</t>
        </is>
      </c>
      <c r="J99" s="28" t="inlineStr">
        <is>
          <t>JWT required (Bearer)</t>
        </is>
      </c>
      <c r="K99" s="28" t="inlineStr">
        <is>
          <t>PolicyHandler.getPolicySnapshot()</t>
        </is>
      </c>
      <c r="L99" s="28" t="inlineStr">
        <is>
          <t>-</t>
        </is>
      </c>
      <c r="M99" s="28" t="inlineStr">
        <is>
          <t>Trigger snapshot captured when the policy was issued (threshold, operator, window...).</t>
        </is>
      </c>
      <c r="N99" s="28" t="inlineStr">
        <is>
          <t>DB read: policy_trigger_snapshots</t>
        </is>
      </c>
      <c r="O99" s="28" t="inlineStr">
        <is>
          <t>PolicyService.getPolicySnapshot</t>
        </is>
      </c>
      <c r="P99" s="28" t="inlineStr">
        <is>
          <t>/admin/policies/:policyId, /customer/claims/new, /customer/policies/:policyId, /underwriter/policies/:policyId</t>
        </is>
      </c>
    </row>
    <row r="100" ht="35" customHeight="1" s="20">
      <c r="A100" s="28" t="inlineStr">
        <is>
          <t>EP-097</t>
        </is>
      </c>
      <c r="B100" s="28" t="inlineStr">
        <is>
          <t>Product &amp; Policy Service</t>
        </is>
      </c>
      <c r="C100" s="28" t="inlineStr">
        <is>
          <t>PRODUCT-SERVICE</t>
        </is>
      </c>
      <c r="D100" s="28" t="inlineStr">
        <is>
          <t>ProductRouter</t>
        </is>
      </c>
      <c r="E100" s="29" t="inlineStr">
        <is>
          <t>GET</t>
        </is>
      </c>
      <c r="F100" s="28" t="inlineStr">
        <is>
          <t>/api/products</t>
        </is>
      </c>
      <c r="G100" s="28" t="inlineStr">
        <is>
          <t>-</t>
        </is>
      </c>
      <c r="H100" s="28" t="inlineStr">
        <is>
          <t>Public</t>
        </is>
      </c>
      <c r="I100" s="28" t="inlineStr">
        <is>
          <t>PUBLIC</t>
        </is>
      </c>
      <c r="J100" s="28" t="inlineStr">
        <is>
          <t>Public (no JWT)</t>
        </is>
      </c>
      <c r="K100" s="28" t="inlineStr">
        <is>
          <t>ProductHandler.getProducts()</t>
        </is>
      </c>
      <c r="L100" s="28" t="inlineStr">
        <is>
          <t>ProductService.getActiveProducts()</t>
        </is>
      </c>
      <c r="M100" s="28" t="inlineStr">
        <is>
          <t>List ACTIVE insurance products (public catalogue).</t>
        </is>
      </c>
      <c r="N100" s="28" t="inlineStr">
        <is>
          <t>DB read: products, coverages</t>
        </is>
      </c>
      <c r="O100" s="28" t="inlineStr">
        <is>
          <t>ProductService.getActiveProducts</t>
        </is>
      </c>
      <c r="P100" s="28" t="inlineStr">
        <is>
          <t>/, /admin/zone-map, /customer/policies/new, /customer/quotes, /customer/zone-map, /products</t>
        </is>
      </c>
    </row>
    <row r="101" ht="35" customHeight="1" s="20">
      <c r="A101" s="28" t="inlineStr">
        <is>
          <t>EP-098</t>
        </is>
      </c>
      <c r="B101" s="28" t="inlineStr">
        <is>
          <t>Product &amp; Policy Service</t>
        </is>
      </c>
      <c r="C101" s="28" t="inlineStr">
        <is>
          <t>PRODUCT-SERVICE</t>
        </is>
      </c>
      <c r="D101" s="28" t="inlineStr">
        <is>
          <t>ProductRouter</t>
        </is>
      </c>
      <c r="E101" s="29" t="inlineStr">
        <is>
          <t>GET</t>
        </is>
      </c>
      <c r="F101" s="28" t="inlineStr">
        <is>
          <t>/api/products/category/{category}</t>
        </is>
      </c>
      <c r="G101" s="28" t="inlineStr">
        <is>
          <t>-</t>
        </is>
      </c>
      <c r="H101" s="28" t="inlineStr">
        <is>
          <t>Public</t>
        </is>
      </c>
      <c r="I101" s="28" t="inlineStr">
        <is>
          <t>PUBLIC</t>
        </is>
      </c>
      <c r="J101" s="28" t="inlineStr">
        <is>
          <t>Public (no JWT)</t>
        </is>
      </c>
      <c r="K101" s="28" t="inlineStr">
        <is>
          <t>ProductHandler.getByCategory()</t>
        </is>
      </c>
      <c r="L101" s="28" t="inlineStr">
        <is>
          <t>ProductService.getProductsByCategory()</t>
        </is>
      </c>
      <c r="M101" s="28" t="inlineStr">
        <is>
          <t>List ACTIVE products in a category (WEATHER, FLOOD, AGRICULTURE, ...).</t>
        </is>
      </c>
      <c r="N101" s="28" t="inlineStr">
        <is>
          <t>DB read: products</t>
        </is>
      </c>
      <c r="O101" s="28" t="inlineStr">
        <is>
          <t>ProductService.getProductsByCategory</t>
        </is>
      </c>
      <c r="P101" s="28" t="inlineStr">
        <is>
          <t>/products</t>
        </is>
      </c>
    </row>
    <row r="102" ht="35" customHeight="1" s="20">
      <c r="A102" s="28" t="inlineStr">
        <is>
          <t>EP-099</t>
        </is>
      </c>
      <c r="B102" s="28" t="inlineStr">
        <is>
          <t>Product &amp; Policy Service</t>
        </is>
      </c>
      <c r="C102" s="28" t="inlineStr">
        <is>
          <t>PRODUCT-SERVICE</t>
        </is>
      </c>
      <c r="D102" s="28" t="inlineStr">
        <is>
          <t>ProductRouter</t>
        </is>
      </c>
      <c r="E102" s="29" t="inlineStr">
        <is>
          <t>GET</t>
        </is>
      </c>
      <c r="F102" s="28" t="inlineStr">
        <is>
          <t>/api/products/measurement-status</t>
        </is>
      </c>
      <c r="G102" s="28" t="inlineStr">
        <is>
          <t>-</t>
        </is>
      </c>
      <c r="H102" s="28" t="inlineStr">
        <is>
          <t>Public</t>
        </is>
      </c>
      <c r="I102" s="28" t="inlineStr">
        <is>
          <t>PUBLIC (gateway requires JWT)</t>
        </is>
      </c>
      <c r="J102" s="28" t="inlineStr">
        <is>
          <t>JWT required at gateway (service itself permits anonymous)</t>
        </is>
      </c>
      <c r="K102" s="28" t="inlineStr">
        <is>
          <t>ProductHandler.getPublicMeasurementStatus()</t>
        </is>
      </c>
      <c r="L102" s="28" t="inlineStr">
        <is>
          <t>ProductService.getPublicMeasurementStatus()</t>
        </is>
      </c>
      <c r="M102" s="28" t="inlineStr">
        <is>
          <t>Public view of current measurement vs threshold per product/zone.</t>
        </is>
      </c>
      <c r="N102" s="28" t="inlineStr">
        <is>
          <t>Trigger-Svc GET /internal/triggers/measurements/current</t>
        </is>
      </c>
      <c r="O102" s="28" t="inlineStr">
        <is>
          <t>ProductService.getMeasurementStatus</t>
        </is>
      </c>
      <c r="P102" s="28" t="inlineStr">
        <is>
          <t>/customer/dashboard</t>
        </is>
      </c>
    </row>
    <row r="103" ht="35" customHeight="1" s="20">
      <c r="A103" s="28" t="inlineStr">
        <is>
          <t>EP-100</t>
        </is>
      </c>
      <c r="B103" s="28" t="inlineStr">
        <is>
          <t>Product &amp; Policy Service</t>
        </is>
      </c>
      <c r="C103" s="28" t="inlineStr">
        <is>
          <t>PRODUCT-SERVICE</t>
        </is>
      </c>
      <c r="D103" s="28" t="inlineStr">
        <is>
          <t>ProductRouter</t>
        </is>
      </c>
      <c r="E103" s="29" t="inlineStr">
        <is>
          <t>GET</t>
        </is>
      </c>
      <c r="F103" s="28" t="inlineStr">
        <is>
          <t>/api/products/{productId}</t>
        </is>
      </c>
      <c r="G103" s="28" t="inlineStr">
        <is>
          <t>-</t>
        </is>
      </c>
      <c r="H103" s="28" t="inlineStr">
        <is>
          <t>Public</t>
        </is>
      </c>
      <c r="I103" s="28" t="inlineStr">
        <is>
          <t>PUBLIC</t>
        </is>
      </c>
      <c r="J103" s="28" t="inlineStr">
        <is>
          <t>Public (no JWT)</t>
        </is>
      </c>
      <c r="K103" s="28" t="inlineStr">
        <is>
          <t>ProductHandler.getProduct()</t>
        </is>
      </c>
      <c r="L103" s="28" t="inlineStr">
        <is>
          <t>-</t>
        </is>
      </c>
      <c r="M103" s="28" t="inlineStr">
        <is>
          <t>Get one ACTIVE product with coverages and parametric trigger description.</t>
        </is>
      </c>
      <c r="N103" s="28" t="inlineStr">
        <is>
          <t>DB read: products, coverages</t>
        </is>
      </c>
      <c r="O103" s="28" t="inlineStr">
        <is>
          <t>ProductService.getProduct</t>
        </is>
      </c>
      <c r="P103" s="28" t="inlineStr">
        <is>
          <t>/claims-officer/claims/:claimId, /products/:productId, /underwriter/policies/:policyId</t>
        </is>
      </c>
    </row>
    <row r="104" ht="35" customHeight="1" s="20">
      <c r="A104" s="28" t="inlineStr">
        <is>
          <t>EP-101</t>
        </is>
      </c>
      <c r="B104" s="28" t="inlineStr">
        <is>
          <t>Product &amp; Policy Service</t>
        </is>
      </c>
      <c r="C104" s="28" t="inlineStr">
        <is>
          <t>PRODUCT-SERVICE</t>
        </is>
      </c>
      <c r="D104" s="28" t="inlineStr">
        <is>
          <t>ProductRouter</t>
        </is>
      </c>
      <c r="E104" s="29" t="inlineStr">
        <is>
          <t>POST</t>
        </is>
      </c>
      <c r="F104" s="28" t="inlineStr">
        <is>
          <t>/api/products</t>
        </is>
      </c>
      <c r="G104" s="28" t="inlineStr">
        <is>
          <t>application/json</t>
        </is>
      </c>
      <c r="H104" s="28" t="inlineStr">
        <is>
          <t>Secured</t>
        </is>
      </c>
      <c r="I104" s="28" t="inlineStr">
        <is>
          <t>ADMIN</t>
        </is>
      </c>
      <c r="J104" s="28" t="inlineStr">
        <is>
          <t>JWT required (Bearer)</t>
        </is>
      </c>
      <c r="K104" s="28" t="inlineStr">
        <is>
          <t>ProductHandler.createProduct()</t>
        </is>
      </c>
      <c r="L104" s="28" t="inlineStr">
        <is>
          <t>ProductService.createProduct()</t>
        </is>
      </c>
      <c r="M104" s="28" t="inlineStr">
        <is>
          <t>Create a product in DRAFT with limits (sum insured, term), coverages and parametric trigger config (peril, measurement type/unit, threshold, operator, aggregation, window, min observations).</t>
        </is>
      </c>
      <c r="N104" s="28" t="inlineStr">
        <is>
          <t>DB: products, coverages | Notification-Svc POST /internal/notifications (PRODUCT_CREATED)</t>
        </is>
      </c>
      <c r="O104" s="28" t="inlineStr">
        <is>
          <t>ProductService.createProduct</t>
        </is>
      </c>
      <c r="P104" s="28" t="inlineStr">
        <is>
          <t>/admin/products/new</t>
        </is>
      </c>
    </row>
    <row r="105" ht="35" customHeight="1" s="20">
      <c r="A105" s="28" t="inlineStr">
        <is>
          <t>EP-102</t>
        </is>
      </c>
      <c r="B105" s="28" t="inlineStr">
        <is>
          <t>Product &amp; Policy Service</t>
        </is>
      </c>
      <c r="C105" s="28" t="inlineStr">
        <is>
          <t>PRODUCT-SERVICE</t>
        </is>
      </c>
      <c r="D105" s="28" t="inlineStr">
        <is>
          <t>ProductRouter</t>
        </is>
      </c>
      <c r="E105" s="29" t="inlineStr">
        <is>
          <t>PUT</t>
        </is>
      </c>
      <c r="F105" s="28" t="inlineStr">
        <is>
          <t>/api/products/{productId}</t>
        </is>
      </c>
      <c r="G105" s="28" t="inlineStr">
        <is>
          <t>application/json</t>
        </is>
      </c>
      <c r="H105" s="28" t="inlineStr">
        <is>
          <t>Secured</t>
        </is>
      </c>
      <c r="I105" s="28" t="inlineStr">
        <is>
          <t>ADMIN</t>
        </is>
      </c>
      <c r="J105" s="28" t="inlineStr">
        <is>
          <t>JWT required (Bearer)</t>
        </is>
      </c>
      <c r="K105" s="28" t="inlineStr">
        <is>
          <t>ProductHandler.updateProduct()</t>
        </is>
      </c>
      <c r="L105" s="28" t="inlineStr">
        <is>
          <t>ProductService.updateProduct()</t>
        </is>
      </c>
      <c r="M105" s="28" t="inlineStr">
        <is>
          <t>Update product details and trigger configuration (trigger must stay complete). If the trigger changed, a threshold-history row is recorded.</t>
        </is>
      </c>
      <c r="N105" s="28" t="inlineStr">
        <is>
          <t>DB: products, coverages, product_threshold_history | Notification-Svc POST /internal/notifications (PRODUCT_UPDATED)</t>
        </is>
      </c>
      <c r="O105" s="28" t="inlineStr">
        <is>
          <t>ProductService.updateProduct</t>
        </is>
      </c>
      <c r="P105" s="28" t="inlineStr">
        <is>
          <t>/admin/products/:productId</t>
        </is>
      </c>
    </row>
    <row r="106" ht="36" customHeight="1" s="20">
      <c r="A106" s="28" t="inlineStr">
        <is>
          <t>EP-103</t>
        </is>
      </c>
      <c r="B106" s="28" t="inlineStr">
        <is>
          <t>Product &amp; Policy Service</t>
        </is>
      </c>
      <c r="C106" s="28" t="inlineStr">
        <is>
          <t>PRODUCT-SERVICE</t>
        </is>
      </c>
      <c r="D106" s="28" t="inlineStr">
        <is>
          <t>ProductRouter</t>
        </is>
      </c>
      <c r="E106" s="29" t="inlineStr">
        <is>
          <t>PUT</t>
        </is>
      </c>
      <c r="F106" s="28" t="inlineStr">
        <is>
          <t>/api/products/{productId}/status</t>
        </is>
      </c>
      <c r="G106" s="28" t="inlineStr">
        <is>
          <t>application/json</t>
        </is>
      </c>
      <c r="H106" s="28" t="inlineStr">
        <is>
          <t>Secured</t>
        </is>
      </c>
      <c r="I106" s="28" t="inlineStr">
        <is>
          <t>ADMIN</t>
        </is>
      </c>
      <c r="J106" s="28" t="inlineStr">
        <is>
          <t>JWT required (Bearer)</t>
        </is>
      </c>
      <c r="K106" s="28" t="inlineStr">
        <is>
          <t>ProductHandler.updateStatus()</t>
        </is>
      </c>
      <c r="L106" s="28" t="inlineStr">
        <is>
          <t>ProductService.updateStatus()</t>
        </is>
      </c>
      <c r="M106" s="28" t="inlineStr">
        <is>
          <t>Change product status (DRAFT/ACTIVE/INACTIVE/ARCHIVED). ACTIVE requires a complete trigger; ARCHIVED requires no open policies.</t>
        </is>
      </c>
      <c r="N106" s="28" t="inlineStr">
        <is>
          <t>DB: products</t>
        </is>
      </c>
      <c r="O106" s="28" t="inlineStr">
        <is>
          <t>ProductService.updateProductStatus</t>
        </is>
      </c>
      <c r="P106" s="28" t="inlineStr">
        <is>
          <t>/admin/products</t>
        </is>
      </c>
    </row>
    <row r="107" ht="35" customHeight="1" s="20">
      <c r="A107" s="28" t="inlineStr">
        <is>
          <t>EP-104</t>
        </is>
      </c>
      <c r="B107" s="28" t="inlineStr">
        <is>
          <t>Product &amp; Policy Service</t>
        </is>
      </c>
      <c r="C107" s="28" t="inlineStr">
        <is>
          <t>PRODUCT-SERVICE</t>
        </is>
      </c>
      <c r="D107" s="28" t="inlineStr">
        <is>
          <t>ProductRouter</t>
        </is>
      </c>
      <c r="E107" s="29" t="inlineStr">
        <is>
          <t>DELETE</t>
        </is>
      </c>
      <c r="F107" s="28" t="inlineStr">
        <is>
          <t>/api/products/{productId}</t>
        </is>
      </c>
      <c r="G107" s="28" t="inlineStr">
        <is>
          <t>-</t>
        </is>
      </c>
      <c r="H107" s="28" t="inlineStr">
        <is>
          <t>Secured</t>
        </is>
      </c>
      <c r="I107" s="28" t="inlineStr">
        <is>
          <t>ADMIN</t>
        </is>
      </c>
      <c r="J107" s="28" t="inlineStr">
        <is>
          <t>JWT required (Bearer)</t>
        </is>
      </c>
      <c r="K107" s="28" t="inlineStr">
        <is>
          <t>ProductHandler.deleteProduct()</t>
        </is>
      </c>
      <c r="L107" s="28" t="inlineStr">
        <is>
          <t>-</t>
        </is>
      </c>
      <c r="M107" s="28" t="inlineStr">
        <is>
          <t>Archive (soft-delete) a product when it has no open policies.</t>
        </is>
      </c>
      <c r="N107" s="28" t="inlineStr">
        <is>
          <t>DB: products</t>
        </is>
      </c>
      <c r="O107" s="28" t="inlineStr">
        <is>
          <t>ProductService.deleteProduct</t>
        </is>
      </c>
      <c r="P107" s="28" t="inlineStr">
        <is>
          <t>/admin/products</t>
        </is>
      </c>
    </row>
    <row r="108" ht="87.5" customHeight="1" s="20">
      <c r="A108" s="28" t="inlineStr">
        <is>
          <t>EP-105</t>
        </is>
      </c>
      <c r="B108" s="28" t="inlineStr">
        <is>
          <t>Product &amp; Policy Service</t>
        </is>
      </c>
      <c r="C108" s="28" t="inlineStr">
        <is>
          <t>PRODUCT-SERVICE</t>
        </is>
      </c>
      <c r="D108" s="28" t="inlineStr">
        <is>
          <t>ProductRouter</t>
        </is>
      </c>
      <c r="E108" s="29" t="inlineStr">
        <is>
          <t>GET</t>
        </is>
      </c>
      <c r="F108" s="28" t="inlineStr">
        <is>
          <t>/api/products/admin/all</t>
        </is>
      </c>
      <c r="G108" s="28" t="inlineStr">
        <is>
          <t>-</t>
        </is>
      </c>
      <c r="H108" s="28" t="inlineStr">
        <is>
          <t>Secured</t>
        </is>
      </c>
      <c r="I108" s="28" t="inlineStr">
        <is>
          <t>ADMIN</t>
        </is>
      </c>
      <c r="J108" s="28" t="inlineStr">
        <is>
          <t>JWT required (Bearer)</t>
        </is>
      </c>
      <c r="K108" s="28" t="inlineStr">
        <is>
          <t>ProductHandler.getAllProducts()</t>
        </is>
      </c>
      <c r="L108" s="28" t="inlineStr">
        <is>
          <t>ProductService.getAllProducts()</t>
        </is>
      </c>
      <c r="M108" s="28" t="inlineStr">
        <is>
          <t>List all products in every status (admin catalogue).</t>
        </is>
      </c>
      <c r="N108" s="28" t="inlineStr">
        <is>
          <t>DB read</t>
        </is>
      </c>
      <c r="O108" s="28" t="inlineStr">
        <is>
          <t>ProductService.getAdminProducts</t>
        </is>
      </c>
      <c r="P108" s="28" t="inlineStr">
        <is>
          <t>/admin/current-measurements, /admin/dashboard, /admin/pricing-rules, /admin/product-thresholds, /admin/products, /admin/zone-map, /customer/zone-map</t>
        </is>
      </c>
    </row>
    <row r="109" ht="35" customHeight="1" s="20">
      <c r="A109" s="28" t="inlineStr">
        <is>
          <t>EP-106</t>
        </is>
      </c>
      <c r="B109" s="28" t="inlineStr">
        <is>
          <t>Product &amp; Policy Service</t>
        </is>
      </c>
      <c r="C109" s="28" t="inlineStr">
        <is>
          <t>PRODUCT-SERVICE</t>
        </is>
      </c>
      <c r="D109" s="28" t="inlineStr">
        <is>
          <t>ProductRouter</t>
        </is>
      </c>
      <c r="E109" s="29" t="inlineStr">
        <is>
          <t>GET</t>
        </is>
      </c>
      <c r="F109" s="28" t="inlineStr">
        <is>
          <t>/api/products/admin/measurement-status</t>
        </is>
      </c>
      <c r="G109" s="28" t="inlineStr">
        <is>
          <t>-</t>
        </is>
      </c>
      <c r="H109" s="28" t="inlineStr">
        <is>
          <t>Secured</t>
        </is>
      </c>
      <c r="I109" s="28" t="inlineStr">
        <is>
          <t>ADMIN</t>
        </is>
      </c>
      <c r="J109" s="28" t="inlineStr">
        <is>
          <t>JWT required (Bearer)</t>
        </is>
      </c>
      <c r="K109" s="28" t="inlineStr">
        <is>
          <t>ProductHandler.getMeasurementStatus()</t>
        </is>
      </c>
      <c r="L109" s="28" t="inlineStr">
        <is>
          <t>ProductService.getMeasurementStatus()</t>
        </is>
      </c>
      <c r="M109" s="28" t="inlineStr">
        <is>
          <t>Measurement console: every product x zone with current value, threshold, operator and whether it is breached.</t>
        </is>
      </c>
      <c r="N109" s="28" t="inlineStr">
        <is>
          <t>Trigger-Svc GET /internal/triggers/measurements/current</t>
        </is>
      </c>
      <c r="O109" s="28" t="inlineStr">
        <is>
          <t>ProductService.getAdminMeasurementStatus</t>
        </is>
      </c>
      <c r="P109" s="28" t="inlineStr">
        <is>
          <t>/admin/current-measurements</t>
        </is>
      </c>
    </row>
    <row r="110" ht="87.5" customHeight="1" s="20">
      <c r="A110" s="28" t="inlineStr">
        <is>
          <t>EP-107</t>
        </is>
      </c>
      <c r="B110" s="28" t="inlineStr">
        <is>
          <t>Product &amp; Policy Service</t>
        </is>
      </c>
      <c r="C110" s="28" t="inlineStr">
        <is>
          <t>PRODUCT-SERVICE</t>
        </is>
      </c>
      <c r="D110" s="28" t="inlineStr">
        <is>
          <t>ProductRouter</t>
        </is>
      </c>
      <c r="E110" s="29" t="inlineStr">
        <is>
          <t>GET</t>
        </is>
      </c>
      <c r="F110" s="28" t="inlineStr">
        <is>
          <t>/api/products/admin/{productId}</t>
        </is>
      </c>
      <c r="G110" s="28" t="inlineStr">
        <is>
          <t>-</t>
        </is>
      </c>
      <c r="H110" s="28" t="inlineStr">
        <is>
          <t>Secured</t>
        </is>
      </c>
      <c r="I110" s="28" t="inlineStr">
        <is>
          <t>ADMIN</t>
        </is>
      </c>
      <c r="J110" s="28" t="inlineStr">
        <is>
          <t>JWT required (Bearer)</t>
        </is>
      </c>
      <c r="K110" s="28" t="inlineStr">
        <is>
          <t>ProductHandler.getAdminProduct()</t>
        </is>
      </c>
      <c r="L110" s="28" t="inlineStr">
        <is>
          <t>-</t>
        </is>
      </c>
      <c r="M110" s="28" t="inlineStr">
        <is>
          <t>Get any product (any status) with trigger sync status.</t>
        </is>
      </c>
      <c r="N110" s="28" t="inlineStr">
        <is>
          <t>DB read</t>
        </is>
      </c>
      <c r="O110" s="28" t="inlineStr">
        <is>
          <t>ProductService.getAdminProduct</t>
        </is>
      </c>
      <c r="P110" s="28" t="inlineStr">
        <is>
          <t>/admin/products/:productId, /admin/products/:productId/threshold</t>
        </is>
      </c>
    </row>
    <row r="111" ht="87.5" customHeight="1" s="20">
      <c r="A111" s="28" t="inlineStr">
        <is>
          <t>EP-108</t>
        </is>
      </c>
      <c r="B111" s="28" t="inlineStr">
        <is>
          <t>Product &amp; Policy Service</t>
        </is>
      </c>
      <c r="C111" s="28" t="inlineStr">
        <is>
          <t>PRODUCT-SERVICE</t>
        </is>
      </c>
      <c r="D111" s="28" t="inlineStr">
        <is>
          <t>ProductRouter</t>
        </is>
      </c>
      <c r="E111" s="29" t="inlineStr">
        <is>
          <t>GET</t>
        </is>
      </c>
      <c r="F111" s="28" t="inlineStr">
        <is>
          <t>/api/products/admin/{productId}/threshold-history</t>
        </is>
      </c>
      <c r="G111" s="28" t="inlineStr">
        <is>
          <t>-</t>
        </is>
      </c>
      <c r="H111" s="28" t="inlineStr">
        <is>
          <t>Secured</t>
        </is>
      </c>
      <c r="I111" s="28" t="inlineStr">
        <is>
          <t>ADMIN</t>
        </is>
      </c>
      <c r="J111" s="28" t="inlineStr">
        <is>
          <t>JWT required (Bearer)</t>
        </is>
      </c>
      <c r="K111" s="28" t="inlineStr">
        <is>
          <t>ProductHandler.getThresholdHistory()</t>
        </is>
      </c>
      <c r="L111" s="28" t="inlineStr">
        <is>
          <t>-</t>
        </is>
      </c>
      <c r="M111" s="28" t="inlineStr">
        <is>
          <t>History of trigger threshold changes for a product (old/new values, reason, who, when).</t>
        </is>
      </c>
      <c r="N111" s="28" t="inlineStr">
        <is>
          <t>DB read: product_threshold_history</t>
        </is>
      </c>
      <c r="O111" s="28" t="inlineStr">
        <is>
          <t>ProductService.getThresholdHistory</t>
        </is>
      </c>
      <c r="P111" s="28" t="inlineStr">
        <is>
          <t>/admin/products/:productId/threshold</t>
        </is>
      </c>
    </row>
    <row r="112" ht="52.5" customHeight="1" s="20">
      <c r="A112" s="28" t="inlineStr">
        <is>
          <t>EP-109</t>
        </is>
      </c>
      <c r="B112" s="28" t="inlineStr">
        <is>
          <t>Product &amp; Policy Service</t>
        </is>
      </c>
      <c r="C112" s="28" t="inlineStr">
        <is>
          <t>PRODUCT-SERVICE</t>
        </is>
      </c>
      <c r="D112" s="28" t="inlineStr">
        <is>
          <t>ProductRouter</t>
        </is>
      </c>
      <c r="E112" s="29" t="inlineStr">
        <is>
          <t>PUT</t>
        </is>
      </c>
      <c r="F112" s="28" t="inlineStr">
        <is>
          <t>/api/products/admin/{productId}/threshold</t>
        </is>
      </c>
      <c r="G112" s="28" t="inlineStr">
        <is>
          <t>application/json</t>
        </is>
      </c>
      <c r="H112" s="28" t="inlineStr">
        <is>
          <t>Secured</t>
        </is>
      </c>
      <c r="I112" s="28" t="inlineStr">
        <is>
          <t>ADMIN</t>
        </is>
      </c>
      <c r="J112" s="28" t="inlineStr">
        <is>
          <t>JWT required (Bearer)</t>
        </is>
      </c>
      <c r="K112" s="28" t="inlineStr">
        <is>
          <t>ProductHandler.updateThreshold()</t>
        </is>
      </c>
      <c r="L112" s="28" t="inlineStr">
        <is>
          <t>ProductService.updateThreshold()</t>
        </is>
      </c>
      <c r="M112" s="28" t="inlineStr">
        <is>
          <t>Change the product's trigger threshold / operator / window. Records history. Existing policies keep their captured trigger snapshot. (No Trigger-Svc call: Trigger-Svc reads product config live via /internal/products/{id}.)</t>
        </is>
      </c>
      <c r="N112" s="28" t="inlineStr">
        <is>
          <t>DB: products, product_threshold_history</t>
        </is>
      </c>
      <c r="O112" s="28" t="inlineStr">
        <is>
          <t>ProductService.updateThreshold</t>
        </is>
      </c>
      <c r="P112" s="28" t="inlineStr">
        <is>
          <t>/admin/products/:productId/threshold</t>
        </is>
      </c>
    </row>
    <row r="113" ht="35" customHeight="1" s="20">
      <c r="A113" s="28" t="inlineStr">
        <is>
          <t>EP-110</t>
        </is>
      </c>
      <c r="B113" s="28" t="inlineStr">
        <is>
          <t>Product &amp; Policy Service</t>
        </is>
      </c>
      <c r="C113" s="28" t="inlineStr">
        <is>
          <t>PRODUCT-SERVICE</t>
        </is>
      </c>
      <c r="D113" s="28" t="inlineStr">
        <is>
          <t>ProductRouter</t>
        </is>
      </c>
      <c r="E113" s="29" t="inlineStr">
        <is>
          <t>GET</t>
        </is>
      </c>
      <c r="F113" s="28" t="inlineStr">
        <is>
          <t>/internal/products</t>
        </is>
      </c>
      <c r="G113" s="28" t="inlineStr">
        <is>
          <t>-</t>
        </is>
      </c>
      <c r="H113" s="28" t="inlineStr">
        <is>
          <t>Internal</t>
        </is>
      </c>
      <c r="I113" s="28" t="inlineStr">
        <is>
          <t>INTERNAL</t>
        </is>
      </c>
      <c r="J113" s="28" t="inlineStr">
        <is>
          <t>Routed by gateway (product-policy-service-route) - JWT required; normally called service-to-service</t>
        </is>
      </c>
      <c r="K113" s="28" t="inlineStr">
        <is>
          <t>ProductHandler.getInternalProducts()</t>
        </is>
      </c>
      <c r="L113" s="28" t="inlineStr">
        <is>
          <t>ProductService.getAllInternalProducts()</t>
        </is>
      </c>
      <c r="M113" s="28" t="inlineStr">
        <is>
          <t>All products with trigger config (used by Financial-Svc default pricing-rule provisioner).</t>
        </is>
      </c>
      <c r="N113" s="28" t="inlineStr">
        <is>
          <t>DB read</t>
        </is>
      </c>
      <c r="O113" s="28" t="inlineStr">
        <is>
          <t>(service-to-service)</t>
        </is>
      </c>
      <c r="P113" s="28" t="inlineStr">
        <is>
          <t>-</t>
        </is>
      </c>
    </row>
    <row r="114" ht="35" customHeight="1" s="20">
      <c r="A114" s="28" t="inlineStr">
        <is>
          <t>EP-111</t>
        </is>
      </c>
      <c r="B114" s="28" t="inlineStr">
        <is>
          <t>Product &amp; Policy Service</t>
        </is>
      </c>
      <c r="C114" s="28" t="inlineStr">
        <is>
          <t>PRODUCT-SERVICE</t>
        </is>
      </c>
      <c r="D114" s="28" t="inlineStr">
        <is>
          <t>ProductRouter</t>
        </is>
      </c>
      <c r="E114" s="29" t="inlineStr">
        <is>
          <t>GET</t>
        </is>
      </c>
      <c r="F114" s="28" t="inlineStr">
        <is>
          <t>/internal/products/{productId}</t>
        </is>
      </c>
      <c r="G114" s="28" t="inlineStr">
        <is>
          <t>-</t>
        </is>
      </c>
      <c r="H114" s="28" t="inlineStr">
        <is>
          <t>Internal</t>
        </is>
      </c>
      <c r="I114" s="28" t="inlineStr">
        <is>
          <t>INTERNAL</t>
        </is>
      </c>
      <c r="J114" s="28" t="inlineStr">
        <is>
          <t>Routed by gateway (product-policy-service-route) - JWT required; normally called service-to-service</t>
        </is>
      </c>
      <c r="K114" s="28" t="inlineStr">
        <is>
          <t>ProductHandler.getInternalProduct()</t>
        </is>
      </c>
      <c r="L114" s="28" t="inlineStr">
        <is>
          <t>-</t>
        </is>
      </c>
      <c r="M114" s="28" t="inlineStr">
        <is>
          <t>Product config lookup (limits, status, trigger config). Called by Financial-Svc (quotes, pricing rules) and Trigger-Svc (measurement processing).</t>
        </is>
      </c>
      <c r="N114" s="28" t="inlineStr">
        <is>
          <t>DB read</t>
        </is>
      </c>
      <c r="O114" s="28" t="inlineStr">
        <is>
          <t>(service-to-service)</t>
        </is>
      </c>
      <c r="P114" s="28" t="inlineStr">
        <is>
          <t>-</t>
        </is>
      </c>
    </row>
    <row r="115" ht="35" customHeight="1" s="20">
      <c r="A115" s="28" t="inlineStr">
        <is>
          <t>EP-112</t>
        </is>
      </c>
      <c r="B115" s="28" t="inlineStr">
        <is>
          <t>Product &amp; Policy Service</t>
        </is>
      </c>
      <c r="C115" s="28" t="inlineStr">
        <is>
          <t>PRODUCT-SERVICE</t>
        </is>
      </c>
      <c r="D115" s="28" t="inlineStr">
        <is>
          <t>PolicyRouter</t>
        </is>
      </c>
      <c r="E115" s="29" t="inlineStr">
        <is>
          <t>GET</t>
        </is>
      </c>
      <c r="F115" s="28" t="inlineStr">
        <is>
          <t>/api/policies/admin/zone-exposure</t>
        </is>
      </c>
      <c r="G115" s="28" t="inlineStr">
        <is>
          <t>-</t>
        </is>
      </c>
      <c r="H115" s="28" t="inlineStr">
        <is>
          <t>Secured</t>
        </is>
      </c>
      <c r="I115" s="28" t="inlineStr">
        <is>
          <t>ADMIN</t>
        </is>
      </c>
      <c r="J115" s="28" t="inlineStr">
        <is>
          <t>JWT required (Bearer)</t>
        </is>
      </c>
      <c r="K115" s="28" t="inlineStr">
        <is>
          <t>PolicyHandler.getZoneExposure()</t>
        </is>
      </c>
      <c r="L115" s="28" t="inlineStr">
        <is>
          <t>ZoneUnderwritingService.exposureReport()</t>
        </is>
      </c>
      <c r="M115" s="28" t="inlineStr">
        <is>
          <t>Total sum insured of active policies per zone against the zone exposure cap.</t>
        </is>
      </c>
      <c r="N115" s="28" t="inlineStr">
        <is>
          <t>DB read: policies | Trigger-Svc GET /internal/triggers/zones/active</t>
        </is>
      </c>
      <c r="O115" s="28" t="inlineStr">
        <is>
          <t>ZoneService.getZoneExposure</t>
        </is>
      </c>
      <c r="P115" s="28" t="inlineStr">
        <is>
          <t>/admin/zone-exposure</t>
        </is>
      </c>
    </row>
    <row r="116" ht="87.5" customHeight="1" s="20">
      <c r="A116" s="28" t="inlineStr">
        <is>
          <t>EP-113</t>
        </is>
      </c>
      <c r="B116" s="28" t="inlineStr">
        <is>
          <t>Trigger Service</t>
        </is>
      </c>
      <c r="C116" s="28" t="inlineStr">
        <is>
          <t>TRIGGER-SERVICE</t>
        </is>
      </c>
      <c r="D116" s="28" t="inlineStr">
        <is>
          <t>LocationZoneRouter</t>
        </is>
      </c>
      <c r="E116" s="29" t="inlineStr">
        <is>
          <t>GET</t>
        </is>
      </c>
      <c r="F116" s="28" t="inlineStr">
        <is>
          <t>/api/triggers/zones</t>
        </is>
      </c>
      <c r="G116" s="28" t="inlineStr">
        <is>
          <t>application/json</t>
        </is>
      </c>
      <c r="H116" s="28" t="inlineStr">
        <is>
          <t>Secured</t>
        </is>
      </c>
      <c r="I116" s="28" t="inlineStr">
        <is>
          <t>ADMIN, UNDERWRITER, CLAIMS_OFFICER</t>
        </is>
      </c>
      <c r="J116" s="28" t="inlineStr">
        <is>
          <t>JWT required (Bearer)</t>
        </is>
      </c>
      <c r="K116" s="28" t="inlineStr">
        <is>
          <t>LocationZoneHandler.getAll()</t>
        </is>
      </c>
      <c r="L116" s="28" t="inlineStr">
        <is>
          <t>LocationZoneService.getAll()</t>
        </is>
      </c>
      <c r="M116" s="28" t="inlineStr">
        <is>
          <t>All location zones (filter by state).</t>
        </is>
      </c>
      <c r="N116" s="28" t="inlineStr">
        <is>
          <t>DB read: location_zones</t>
        </is>
      </c>
      <c r="O116" s="28" t="inlineStr">
        <is>
          <t>ZoneService.getAllZones</t>
        </is>
      </c>
      <c r="P116" s="28" t="inlineStr">
        <is>
          <t>/admin/claims, /admin/policies, /admin/pricing-rules, /admin/users/:userId, /admin/zone-map, /admin/zones, /customer/zone-map</t>
        </is>
      </c>
    </row>
    <row r="117" ht="35" customHeight="1" s="20">
      <c r="A117" s="28" t="inlineStr">
        <is>
          <t>EP-114</t>
        </is>
      </c>
      <c r="B117" s="28" t="inlineStr">
        <is>
          <t>Trigger Service</t>
        </is>
      </c>
      <c r="C117" s="28" t="inlineStr">
        <is>
          <t>TRIGGER-SERVICE</t>
        </is>
      </c>
      <c r="D117" s="28" t="inlineStr">
        <is>
          <t>LocationZoneRouter</t>
        </is>
      </c>
      <c r="E117" s="29" t="inlineStr">
        <is>
          <t>GET</t>
        </is>
      </c>
      <c r="F117" s="28" t="inlineStr">
        <is>
          <t>/api/triggers/zones/active</t>
        </is>
      </c>
      <c r="G117" s="28" t="inlineStr">
        <is>
          <t>application/json</t>
        </is>
      </c>
      <c r="H117" s="28" t="inlineStr">
        <is>
          <t>Secured</t>
        </is>
      </c>
      <c r="I117" s="28" t="inlineStr">
        <is>
          <t>AUTHENTICATED (any role)</t>
        </is>
      </c>
      <c r="J117" s="28" t="inlineStr">
        <is>
          <t>JWT required (Bearer)</t>
        </is>
      </c>
      <c r="K117" s="28" t="inlineStr">
        <is>
          <t>LocationZoneHandler.getActive()</t>
        </is>
      </c>
      <c r="L117" s="28" t="inlineStr">
        <is>
          <t>LocationZoneService.getActive()</t>
        </is>
      </c>
      <c r="M117" s="28" t="inlineStr">
        <is>
          <t>Active zones (used by customer forms and maps).</t>
        </is>
      </c>
      <c r="N117" s="28" t="inlineStr">
        <is>
          <t>DB read</t>
        </is>
      </c>
      <c r="O117" s="28" t="inlineStr">
        <is>
          <t>ZoneService.getActiveZones</t>
        </is>
      </c>
      <c r="P117" s="28" t="inlineStr">
        <is>
          <t>/admin/current-measurements, /admin/zone-map, /claims-officer/claims, /customer/claims, /customer/claims/new, /customer/policies, /customer/policies/new, /customer/quotes, /customer/zone-map, /underwriter/policies</t>
        </is>
      </c>
    </row>
    <row r="118" ht="105" customHeight="1" s="20">
      <c r="A118" s="28" t="inlineStr">
        <is>
          <t>EP-115</t>
        </is>
      </c>
      <c r="B118" s="28" t="inlineStr">
        <is>
          <t>Trigger Service</t>
        </is>
      </c>
      <c r="C118" s="28" t="inlineStr">
        <is>
          <t>TRIGGER-SERVICE</t>
        </is>
      </c>
      <c r="D118" s="28" t="inlineStr">
        <is>
          <t>LocationZoneRouter</t>
        </is>
      </c>
      <c r="E118" s="29" t="inlineStr">
        <is>
          <t>GET</t>
        </is>
      </c>
      <c r="F118" s="28" t="inlineStr">
        <is>
          <t>/api/triggers/zones/{zoneId}</t>
        </is>
      </c>
      <c r="G118" s="28" t="inlineStr">
        <is>
          <t>application/json</t>
        </is>
      </c>
      <c r="H118" s="28" t="inlineStr">
        <is>
          <t>Secured</t>
        </is>
      </c>
      <c r="I118" s="28" t="inlineStr">
        <is>
          <t>ADMIN, UNDERWRITER, CLAIMS_OFFICER, CUSTOMER</t>
        </is>
      </c>
      <c r="J118" s="28" t="inlineStr">
        <is>
          <t>JWT required (Bearer)</t>
        </is>
      </c>
      <c r="K118" s="28" t="inlineStr">
        <is>
          <t>LocationZoneHandler.getById()</t>
        </is>
      </c>
      <c r="L118" s="28" t="inlineStr">
        <is>
          <t>-</t>
        </is>
      </c>
      <c r="M118" s="28" t="inlineStr">
        <is>
          <t>One zone (customers see the zone name on their policy page).</t>
        </is>
      </c>
      <c r="N118" s="28" t="inlineStr">
        <is>
          <t>DB read</t>
        </is>
      </c>
      <c r="O118" s="28" t="inlineStr">
        <is>
          <t>ZoneService.getZone</t>
        </is>
      </c>
      <c r="P118" s="28" t="inlineStr">
        <is>
          <t>/admin/claims/:claimId, /admin/policies/:policyId, /claims-officer/claims/:claimId, /customer/claims/:claimId, /customer/policies/:policyId, /underwriter/policies/:policyId</t>
        </is>
      </c>
    </row>
    <row r="119" ht="70" customHeight="1" s="20">
      <c r="A119" s="28" t="inlineStr">
        <is>
          <t>EP-116</t>
        </is>
      </c>
      <c r="B119" s="28" t="inlineStr">
        <is>
          <t>Trigger Service</t>
        </is>
      </c>
      <c r="C119" s="28" t="inlineStr">
        <is>
          <t>TRIGGER-SERVICE</t>
        </is>
      </c>
      <c r="D119" s="28" t="inlineStr">
        <is>
          <t>LocationZoneRouter</t>
        </is>
      </c>
      <c r="E119" s="29" t="inlineStr">
        <is>
          <t>POST</t>
        </is>
      </c>
      <c r="F119" s="28" t="inlineStr">
        <is>
          <t>/api/triggers/zones</t>
        </is>
      </c>
      <c r="G119" s="28" t="inlineStr">
        <is>
          <t>application/json</t>
        </is>
      </c>
      <c r="H119" s="28" t="inlineStr">
        <is>
          <t>Secured</t>
        </is>
      </c>
      <c r="I119" s="28" t="inlineStr">
        <is>
          <t>ADMIN</t>
        </is>
      </c>
      <c r="J119" s="28" t="inlineStr">
        <is>
          <t>JWT required (Bearer)</t>
        </is>
      </c>
      <c r="K119" s="28" t="inlineStr">
        <is>
          <t>LocationZoneHandler.create()</t>
        </is>
      </c>
      <c r="L119" s="28" t="inlineStr">
        <is>
          <t>LocationZoneService.create()</t>
        </is>
      </c>
      <c r="M119" s="28" t="inlineStr">
        <is>
          <t>Create a location zone (code, name, state, district, lat/long, radius).</t>
        </is>
      </c>
      <c r="N119" s="28" t="inlineStr">
        <is>
          <t>DB: location_zones</t>
        </is>
      </c>
      <c r="O119" s="28" t="inlineStr">
        <is>
          <t>ZoneService.createZone</t>
        </is>
      </c>
      <c r="P119" s="28" t="inlineStr">
        <is>
          <t>/admin/zones</t>
        </is>
      </c>
    </row>
    <row r="120" ht="35" customHeight="1" s="20">
      <c r="A120" s="28" t="inlineStr">
        <is>
          <t>EP-117</t>
        </is>
      </c>
      <c r="B120" s="28" t="inlineStr">
        <is>
          <t>Trigger Service</t>
        </is>
      </c>
      <c r="C120" s="28" t="inlineStr">
        <is>
          <t>TRIGGER-SERVICE</t>
        </is>
      </c>
      <c r="D120" s="28" t="inlineStr">
        <is>
          <t>LocationZoneRouter</t>
        </is>
      </c>
      <c r="E120" s="29" t="inlineStr">
        <is>
          <t>PUT</t>
        </is>
      </c>
      <c r="F120" s="28" t="inlineStr">
        <is>
          <t>/api/triggers/zones/{zoneId}</t>
        </is>
      </c>
      <c r="G120" s="28" t="inlineStr">
        <is>
          <t>application/json</t>
        </is>
      </c>
      <c r="H120" s="28" t="inlineStr">
        <is>
          <t>Secured</t>
        </is>
      </c>
      <c r="I120" s="28" t="inlineStr">
        <is>
          <t>ADMIN</t>
        </is>
      </c>
      <c r="J120" s="28" t="inlineStr">
        <is>
          <t>JWT required (Bearer)</t>
        </is>
      </c>
      <c r="K120" s="28" t="inlineStr">
        <is>
          <t>LocationZoneHandler.update()</t>
        </is>
      </c>
      <c r="L120" s="28" t="inlineStr">
        <is>
          <t>LocationZoneService.update()</t>
        </is>
      </c>
      <c r="M120" s="28" t="inlineStr">
        <is>
          <t>Update a zone.</t>
        </is>
      </c>
      <c r="N120" s="28" t="inlineStr">
        <is>
          <t>DB</t>
        </is>
      </c>
      <c r="O120" s="28" t="inlineStr">
        <is>
          <t>ZoneService.updateZone</t>
        </is>
      </c>
      <c r="P120" s="28" t="inlineStr">
        <is>
          <t>/admin/zones</t>
        </is>
      </c>
    </row>
    <row r="121" ht="35" customHeight="1" s="20">
      <c r="A121" s="28" t="inlineStr">
        <is>
          <t>EP-118</t>
        </is>
      </c>
      <c r="B121" s="28" t="inlineStr">
        <is>
          <t>Trigger Service</t>
        </is>
      </c>
      <c r="C121" s="28" t="inlineStr">
        <is>
          <t>TRIGGER-SERVICE</t>
        </is>
      </c>
      <c r="D121" s="28" t="inlineStr">
        <is>
          <t>LocationZoneRouter</t>
        </is>
      </c>
      <c r="E121" s="29" t="inlineStr">
        <is>
          <t>PUT</t>
        </is>
      </c>
      <c r="F121" s="28" t="inlineStr">
        <is>
          <t>/api/triggers/zones/{zoneId}/status</t>
        </is>
      </c>
      <c r="G121" s="28" t="inlineStr">
        <is>
          <t>application/json</t>
        </is>
      </c>
      <c r="H121" s="28" t="inlineStr">
        <is>
          <t>Secured</t>
        </is>
      </c>
      <c r="I121" s="28" t="inlineStr">
        <is>
          <t>ADMIN</t>
        </is>
      </c>
      <c r="J121" s="28" t="inlineStr">
        <is>
          <t>JWT required (Bearer)</t>
        </is>
      </c>
      <c r="K121" s="28" t="inlineStr">
        <is>
          <t>LocationZoneHandler.updateStatus()</t>
        </is>
      </c>
      <c r="L121" s="28" t="inlineStr">
        <is>
          <t>LocationZoneService.updateStatus()</t>
        </is>
      </c>
      <c r="M121" s="28" t="inlineStr">
        <is>
          <t>Change zone status (ACTIVE / INACTIVE / ARCHIVED).</t>
        </is>
      </c>
      <c r="N121" s="28" t="inlineStr">
        <is>
          <t>DB: location_zones</t>
        </is>
      </c>
      <c r="O121" s="28" t="inlineStr">
        <is>
          <t>ZoneService.updateZoneStatus</t>
        </is>
      </c>
      <c r="P121" s="28" t="inlineStr">
        <is>
          <t>/admin/zones</t>
        </is>
      </c>
    </row>
    <row r="122" ht="105" customHeight="1" s="20">
      <c r="A122" s="28" t="inlineStr">
        <is>
          <t>EP-119</t>
        </is>
      </c>
      <c r="B122" s="28" t="inlineStr">
        <is>
          <t>Trigger Service</t>
        </is>
      </c>
      <c r="C122" s="28" t="inlineStr">
        <is>
          <t>TRIGGER-SERVICE</t>
        </is>
      </c>
      <c r="D122" s="28" t="inlineStr">
        <is>
          <t>LocationZoneRouter</t>
        </is>
      </c>
      <c r="E122" s="29" t="inlineStr">
        <is>
          <t>DELETE</t>
        </is>
      </c>
      <c r="F122" s="28" t="inlineStr">
        <is>
          <t>/api/triggers/zones/{zoneId}</t>
        </is>
      </c>
      <c r="G122" s="28" t="inlineStr">
        <is>
          <t>-</t>
        </is>
      </c>
      <c r="H122" s="28" t="inlineStr">
        <is>
          <t>Secured</t>
        </is>
      </c>
      <c r="I122" s="28" t="inlineStr">
        <is>
          <t>ADMIN</t>
        </is>
      </c>
      <c r="J122" s="28" t="inlineStr">
        <is>
          <t>JWT required (Bearer)</t>
        </is>
      </c>
      <c r="K122" s="28" t="inlineStr">
        <is>
          <t>LocationZoneHandler.archive()</t>
        </is>
      </c>
      <c r="L122" s="28" t="inlineStr">
        <is>
          <t>LocationZoneService.archive()</t>
        </is>
      </c>
      <c r="M122" s="28" t="inlineStr">
        <is>
          <t>Archive a zone (blocked while ACTIVE policies exist in it).</t>
        </is>
      </c>
      <c r="N122" s="28" t="inlineStr">
        <is>
          <t>Product-Svc GET /internal/policies/zone/{zoneId}/has-active | DB</t>
        </is>
      </c>
      <c r="O122" s="28" t="inlineStr">
        <is>
          <t>ZoneService.archiveZone</t>
        </is>
      </c>
      <c r="P122" s="28" t="inlineStr">
        <is>
          <t>/admin/zones</t>
        </is>
      </c>
    </row>
    <row r="123" ht="35" customHeight="1" s="20">
      <c r="A123" s="28" t="inlineStr">
        <is>
          <t>EP-120</t>
        </is>
      </c>
      <c r="B123" s="28" t="inlineStr">
        <is>
          <t>Trigger Service</t>
        </is>
      </c>
      <c r="C123" s="28" t="inlineStr">
        <is>
          <t>TRIGGER-SERVICE</t>
        </is>
      </c>
      <c r="D123" s="28" t="inlineStr">
        <is>
          <t>LocationZoneRouter</t>
        </is>
      </c>
      <c r="E123" s="29" t="inlineStr">
        <is>
          <t>GET</t>
        </is>
      </c>
      <c r="F123" s="28" t="inlineStr">
        <is>
          <t>/internal/triggers/zones/{zoneId}</t>
        </is>
      </c>
      <c r="G123" s="28" t="inlineStr">
        <is>
          <t>-</t>
        </is>
      </c>
      <c r="H123" s="28" t="inlineStr">
        <is>
          <t>Internal</t>
        </is>
      </c>
      <c r="I123" s="28" t="inlineStr">
        <is>
          <t>INTERNAL</t>
        </is>
      </c>
      <c r="J123" s="28" t="inlineStr">
        <is>
          <t>Not routed by gateway - service-to-service only via Eureka (lb://) with X-Gateway-Key</t>
        </is>
      </c>
      <c r="K123" s="28" t="inlineStr">
        <is>
          <t>LocationZoneHandler.getInternalById()</t>
        </is>
      </c>
      <c r="L123" s="28" t="inlineStr">
        <is>
          <t>LocationZoneService.getInternalById()</t>
        </is>
      </c>
      <c r="M123" s="28" t="inlineStr">
        <is>
          <t>Zone details (Financial-Svc validation, Product-Svc certificate).</t>
        </is>
      </c>
      <c r="N123" s="28" t="inlineStr">
        <is>
          <t>DB read</t>
        </is>
      </c>
      <c r="O123" s="28" t="inlineStr">
        <is>
          <t>(service-to-service)</t>
        </is>
      </c>
      <c r="P123" s="28" t="inlineStr">
        <is>
          <t>-</t>
        </is>
      </c>
    </row>
    <row r="124" ht="175" customHeight="1" s="20">
      <c r="A124" s="28" t="inlineStr">
        <is>
          <t>EP-121</t>
        </is>
      </c>
      <c r="B124" s="28" t="inlineStr">
        <is>
          <t>Trigger Service</t>
        </is>
      </c>
      <c r="C124" s="28" t="inlineStr">
        <is>
          <t>TRIGGER-SERVICE</t>
        </is>
      </c>
      <c r="D124" s="28" t="inlineStr">
        <is>
          <t>LocationZoneRouter</t>
        </is>
      </c>
      <c r="E124" s="29" t="inlineStr">
        <is>
          <t>GET</t>
        </is>
      </c>
      <c r="F124" s="28" t="inlineStr">
        <is>
          <t>/internal/triggers/zones/active</t>
        </is>
      </c>
      <c r="G124" s="28" t="inlineStr">
        <is>
          <t>-</t>
        </is>
      </c>
      <c r="H124" s="28" t="inlineStr">
        <is>
          <t>Internal</t>
        </is>
      </c>
      <c r="I124" s="28" t="inlineStr">
        <is>
          <t>INTERNAL</t>
        </is>
      </c>
      <c r="J124" s="28" t="inlineStr">
        <is>
          <t>Not routed by gateway - service-to-service only via Eureka (lb://) with X-Gateway-Key</t>
        </is>
      </c>
      <c r="K124" s="28" t="inlineStr">
        <is>
          <t>LocationZoneHandler.getInternalActive()</t>
        </is>
      </c>
      <c r="L124" s="28" t="inlineStr">
        <is>
          <t>LocationZoneService.getActiveInternal()</t>
        </is>
      </c>
      <c r="M124" s="28" t="inlineStr">
        <is>
          <t>Active zones (Product-Svc).</t>
        </is>
      </c>
      <c r="N124" s="28" t="inlineStr">
        <is>
          <t>DB read</t>
        </is>
      </c>
      <c r="O124" s="28" t="inlineStr">
        <is>
          <t>(service-to-service)</t>
        </is>
      </c>
      <c r="P124" s="28" t="inlineStr">
        <is>
          <t>-</t>
        </is>
      </c>
    </row>
    <row r="125" ht="70" customHeight="1" s="20">
      <c r="A125" s="28" t="inlineStr">
        <is>
          <t>EP-122</t>
        </is>
      </c>
      <c r="B125" s="28" t="inlineStr">
        <is>
          <t>Trigger Service</t>
        </is>
      </c>
      <c r="C125" s="28" t="inlineStr">
        <is>
          <t>TRIGGER-SERVICE</t>
        </is>
      </c>
      <c r="D125" s="28" t="inlineStr">
        <is>
          <t>MeasurementRouter</t>
        </is>
      </c>
      <c r="E125" s="29" t="inlineStr">
        <is>
          <t>PUT</t>
        </is>
      </c>
      <c r="F125" s="28" t="inlineStr">
        <is>
          <t>/api/triggers/current-measurements</t>
        </is>
      </c>
      <c r="G125" s="28" t="inlineStr">
        <is>
          <t>application/json</t>
        </is>
      </c>
      <c r="H125" s="28" t="inlineStr">
        <is>
          <t>Secured</t>
        </is>
      </c>
      <c r="I125" s="28" t="inlineStr">
        <is>
          <t>ADMIN</t>
        </is>
      </c>
      <c r="J125" s="28" t="inlineStr">
        <is>
          <t>JWT required (Bearer)</t>
        </is>
      </c>
      <c r="K125" s="28" t="inlineStr">
        <is>
          <t>MeasurementHandler.processCurrentMeasurement()</t>
        </is>
      </c>
      <c r="L125" s="28" t="inlineStr">
        <is>
          <t>MeasurementService.processCurrentMeasurement()</t>
        </is>
      </c>
      <c r="M125" s="28" t="inlineStr">
        <is>
          <t>Measurement console: record the current value for a product in a zone (idempotency key). Compares against every ACTIVE policy's snapshot threshold; if any match, creates a VERIFIED trigger event and bulk-creates automatic claims.</t>
        </is>
      </c>
      <c r="N125" s="28" t="inlineStr">
        <is>
          <t>Product-Svc GET /internal/products/{id} | Product-Svc GET /internal/policies/active-for-trigger | DB: current_measurements, trigger_events, idempotency_records | Claims-Svc POST /internal/claims/from-trigger-event</t>
        </is>
      </c>
      <c r="O125" s="28" t="inlineStr">
        <is>
          <t>CurrentMeasurementService.process</t>
        </is>
      </c>
      <c r="P125" s="28" t="inlineStr">
        <is>
          <t>/admin/current-measurements</t>
        </is>
      </c>
    </row>
    <row r="126" ht="52.5" customHeight="1" s="20">
      <c r="A126" s="28" t="inlineStr">
        <is>
          <t>EP-123</t>
        </is>
      </c>
      <c r="B126" s="28" t="inlineStr">
        <is>
          <t>Trigger Service</t>
        </is>
      </c>
      <c r="C126" s="28" t="inlineStr">
        <is>
          <t>TRIGGER-SERVICE</t>
        </is>
      </c>
      <c r="D126" s="28" t="inlineStr">
        <is>
          <t>MeasurementRouter</t>
        </is>
      </c>
      <c r="E126" s="29" t="inlineStr">
        <is>
          <t>GET</t>
        </is>
      </c>
      <c r="F126" s="28" t="inlineStr">
        <is>
          <t>/api/triggers/current-measurements</t>
        </is>
      </c>
      <c r="G126" s="28" t="inlineStr">
        <is>
          <t>application/json</t>
        </is>
      </c>
      <c r="H126" s="28" t="inlineStr">
        <is>
          <t>Secured</t>
        </is>
      </c>
      <c r="I126" s="28" t="inlineStr">
        <is>
          <t>ADMIN, UNDERWRITER, CLAIMS_OFFICER, CUSTOMER</t>
        </is>
      </c>
      <c r="J126" s="28" t="inlineStr">
        <is>
          <t>JWT required (Bearer)</t>
        </is>
      </c>
      <c r="K126" s="28" t="inlineStr">
        <is>
          <t>MeasurementHandler.getCurrentMeasurementSnapshots()</t>
        </is>
      </c>
      <c r="L126" s="28" t="inlineStr">
        <is>
          <t>MeasurementService.getCurrentMeasurementSnapshots()</t>
        </is>
      </c>
      <c r="M126" s="28" t="inlineStr">
        <is>
          <t>Current measurement snapshots per product/zone.</t>
        </is>
      </c>
      <c r="N126" s="28" t="inlineStr">
        <is>
          <t>DB read: current_measurements</t>
        </is>
      </c>
      <c r="O126" s="28" t="inlineStr">
        <is>
          <t>CurrentMeasurementService.getCurrentMeasurements</t>
        </is>
      </c>
      <c r="P126" s="28" t="inlineStr">
        <is>
          <t>/admin/current-measurements</t>
        </is>
      </c>
    </row>
    <row r="127" ht="52.5" customHeight="1" s="20">
      <c r="A127" s="28" t="inlineStr">
        <is>
          <t>EP-124</t>
        </is>
      </c>
      <c r="B127" s="28" t="inlineStr">
        <is>
          <t>Trigger Service</t>
        </is>
      </c>
      <c r="C127" s="28" t="inlineStr">
        <is>
          <t>TRIGGER-SERVICE</t>
        </is>
      </c>
      <c r="D127" s="28" t="inlineStr">
        <is>
          <t>MeasurementRouter</t>
        </is>
      </c>
      <c r="E127" s="29" t="inlineStr">
        <is>
          <t>GET</t>
        </is>
      </c>
      <c r="F127" s="28" t="inlineStr">
        <is>
          <t>/internal/triggers/measurements/current</t>
        </is>
      </c>
      <c r="G127" s="28" t="inlineStr">
        <is>
          <t>application/json</t>
        </is>
      </c>
      <c r="H127" s="28" t="inlineStr">
        <is>
          <t>Internal</t>
        </is>
      </c>
      <c r="I127" s="28" t="inlineStr">
        <is>
          <t>INTERNAL</t>
        </is>
      </c>
      <c r="J127" s="28" t="inlineStr">
        <is>
          <t>Not routed by gateway - service-to-service only via Eureka (lb://) with X-Gateway-Key</t>
        </is>
      </c>
      <c r="K127" s="28" t="inlineStr">
        <is>
          <t>MeasurementHandler.getCurrentMeasurementsInternal()</t>
        </is>
      </c>
      <c r="L127" s="28" t="inlineStr">
        <is>
          <t>MeasurementService.getCurrentMeasurements()</t>
        </is>
      </c>
      <c r="M127" s="28" t="inlineStr">
        <is>
          <t>Current measurements (Product-Svc measurement-status views).</t>
        </is>
      </c>
      <c r="N127" s="28" t="inlineStr">
        <is>
          <t>DB read</t>
        </is>
      </c>
      <c r="O127" s="28" t="inlineStr">
        <is>
          <t>(service-to-service)</t>
        </is>
      </c>
      <c r="P127" s="28" t="inlineStr">
        <is>
          <t>-</t>
        </is>
      </c>
    </row>
    <row r="128" ht="52.5" customHeight="1" s="20">
      <c r="A128" s="28" t="inlineStr">
        <is>
          <t>EP-125</t>
        </is>
      </c>
      <c r="B128" s="28" t="inlineStr">
        <is>
          <t>Trigger Service</t>
        </is>
      </c>
      <c r="C128" s="28" t="inlineStr">
        <is>
          <t>TRIGGER-SERVICE</t>
        </is>
      </c>
      <c r="D128" s="28" t="inlineStr">
        <is>
          <t>PerilRouter</t>
        </is>
      </c>
      <c r="E128" s="29" t="inlineStr">
        <is>
          <t>GET</t>
        </is>
      </c>
      <c r="F128" s="28" t="inlineStr">
        <is>
          <t>/api/triggers/perils</t>
        </is>
      </c>
      <c r="G128" s="28" t="inlineStr">
        <is>
          <t>application/json</t>
        </is>
      </c>
      <c r="H128" s="28" t="inlineStr">
        <is>
          <t>Secured</t>
        </is>
      </c>
      <c r="I128" s="28" t="inlineStr">
        <is>
          <t>ADMIN, UNDERWRITER, CLAIMS_OFFICER</t>
        </is>
      </c>
      <c r="J128" s="28" t="inlineStr">
        <is>
          <t>JWT required (Bearer)</t>
        </is>
      </c>
      <c r="K128" s="28" t="inlineStr">
        <is>
          <t>PerilHandler.getAll()</t>
        </is>
      </c>
      <c r="L128" s="28" t="inlineStr">
        <is>
          <t>PerilService.getAll()</t>
        </is>
      </c>
      <c r="M128" s="28" t="inlineStr">
        <is>
          <t>All perils.</t>
        </is>
      </c>
      <c r="N128" s="28" t="inlineStr">
        <is>
          <t>DB read: perils</t>
        </is>
      </c>
      <c r="O128" s="28" t="inlineStr">
        <is>
          <t>PerilService.getAllPerils</t>
        </is>
      </c>
      <c r="P128" s="28" t="inlineStr">
        <is>
          <t>/admin/perils</t>
        </is>
      </c>
    </row>
    <row r="129" ht="52.5" customHeight="1" s="20">
      <c r="A129" s="28" t="inlineStr">
        <is>
          <t>EP-126</t>
        </is>
      </c>
      <c r="B129" s="28" t="inlineStr">
        <is>
          <t>Trigger Service</t>
        </is>
      </c>
      <c r="C129" s="28" t="inlineStr">
        <is>
          <t>TRIGGER-SERVICE</t>
        </is>
      </c>
      <c r="D129" s="28" t="inlineStr">
        <is>
          <t>PerilRouter</t>
        </is>
      </c>
      <c r="E129" s="29" t="inlineStr">
        <is>
          <t>GET</t>
        </is>
      </c>
      <c r="F129" s="28" t="inlineStr">
        <is>
          <t>/api/triggers/perils/{perilId}</t>
        </is>
      </c>
      <c r="G129" s="28" t="inlineStr">
        <is>
          <t>application/json</t>
        </is>
      </c>
      <c r="H129" s="28" t="inlineStr">
        <is>
          <t>Secured</t>
        </is>
      </c>
      <c r="I129" s="28" t="inlineStr">
        <is>
          <t>ADMIN, UNDERWRITER, CLAIMS_OFFICER</t>
        </is>
      </c>
      <c r="J129" s="28" t="inlineStr">
        <is>
          <t>JWT required (Bearer)</t>
        </is>
      </c>
      <c r="K129" s="28" t="inlineStr">
        <is>
          <t>PerilHandler.getById()</t>
        </is>
      </c>
      <c r="L129" s="28" t="inlineStr">
        <is>
          <t>PerilService.getById()</t>
        </is>
      </c>
      <c r="M129" s="28" t="inlineStr">
        <is>
          <t>One peril.</t>
        </is>
      </c>
      <c r="N129" s="28" t="inlineStr">
        <is>
          <t>DB read</t>
        </is>
      </c>
      <c r="O129" s="28" t="inlineStr">
        <is>
          <t>PerilService.getPeril</t>
        </is>
      </c>
      <c r="P129" s="28" t="inlineStr">
        <is>
          <t>-</t>
        </is>
      </c>
    </row>
    <row r="130" ht="87.5" customHeight="1" s="20">
      <c r="A130" s="28" t="inlineStr">
        <is>
          <t>EP-127</t>
        </is>
      </c>
      <c r="B130" s="28" t="inlineStr">
        <is>
          <t>Trigger Service</t>
        </is>
      </c>
      <c r="C130" s="28" t="inlineStr">
        <is>
          <t>TRIGGER-SERVICE</t>
        </is>
      </c>
      <c r="D130" s="28" t="inlineStr">
        <is>
          <t>PerilRouter</t>
        </is>
      </c>
      <c r="E130" s="29" t="inlineStr">
        <is>
          <t>POST</t>
        </is>
      </c>
      <c r="F130" s="28" t="inlineStr">
        <is>
          <t>/api/triggers/perils</t>
        </is>
      </c>
      <c r="G130" s="28" t="inlineStr">
        <is>
          <t>application/json</t>
        </is>
      </c>
      <c r="H130" s="28" t="inlineStr">
        <is>
          <t>Secured</t>
        </is>
      </c>
      <c r="I130" s="28" t="inlineStr">
        <is>
          <t>ADMIN</t>
        </is>
      </c>
      <c r="J130" s="28" t="inlineStr">
        <is>
          <t>JWT required (Bearer)</t>
        </is>
      </c>
      <c r="K130" s="28" t="inlineStr">
        <is>
          <t>PerilHandler.create()</t>
        </is>
      </c>
      <c r="L130" s="28" t="inlineStr">
        <is>
          <t>PerilService.create()</t>
        </is>
      </c>
      <c r="M130" s="28" t="inlineStr">
        <is>
          <t>Create a peril (code, name, type, measurement type/unit).</t>
        </is>
      </c>
      <c r="N130" s="28" t="inlineStr">
        <is>
          <t>DB: perils</t>
        </is>
      </c>
      <c r="O130" s="28" t="inlineStr">
        <is>
          <t>PerilService.createPeril</t>
        </is>
      </c>
      <c r="P130" s="28" t="inlineStr">
        <is>
          <t>/admin/perils</t>
        </is>
      </c>
    </row>
    <row r="131" ht="87.5" customHeight="1" s="20">
      <c r="A131" s="28" t="inlineStr">
        <is>
          <t>EP-128</t>
        </is>
      </c>
      <c r="B131" s="28" t="inlineStr">
        <is>
          <t>Trigger Service</t>
        </is>
      </c>
      <c r="C131" s="28" t="inlineStr">
        <is>
          <t>TRIGGER-SERVICE</t>
        </is>
      </c>
      <c r="D131" s="28" t="inlineStr">
        <is>
          <t>PerilRouter</t>
        </is>
      </c>
      <c r="E131" s="29" t="inlineStr">
        <is>
          <t>PUT</t>
        </is>
      </c>
      <c r="F131" s="28" t="inlineStr">
        <is>
          <t>/api/triggers/perils/{perilId}</t>
        </is>
      </c>
      <c r="G131" s="28" t="inlineStr">
        <is>
          <t>application/json</t>
        </is>
      </c>
      <c r="H131" s="28" t="inlineStr">
        <is>
          <t>Secured</t>
        </is>
      </c>
      <c r="I131" s="28" t="inlineStr">
        <is>
          <t>ADMIN</t>
        </is>
      </c>
      <c r="J131" s="28" t="inlineStr">
        <is>
          <t>JWT required (Bearer)</t>
        </is>
      </c>
      <c r="K131" s="28" t="inlineStr">
        <is>
          <t>PerilHandler.update()</t>
        </is>
      </c>
      <c r="L131" s="28" t="inlineStr">
        <is>
          <t>PerilService.update()</t>
        </is>
      </c>
      <c r="M131" s="28" t="inlineStr">
        <is>
          <t>Update a peril.</t>
        </is>
      </c>
      <c r="N131" s="28" t="inlineStr">
        <is>
          <t>DB</t>
        </is>
      </c>
      <c r="O131" s="28" t="inlineStr">
        <is>
          <t>PerilService.updatePeril</t>
        </is>
      </c>
      <c r="P131" s="28" t="inlineStr">
        <is>
          <t>/admin/perils</t>
        </is>
      </c>
    </row>
    <row r="132" ht="35" customHeight="1" s="20">
      <c r="A132" s="28" t="inlineStr">
        <is>
          <t>EP-129</t>
        </is>
      </c>
      <c r="B132" s="28" t="inlineStr">
        <is>
          <t>Trigger Service</t>
        </is>
      </c>
      <c r="C132" s="28" t="inlineStr">
        <is>
          <t>TRIGGER-SERVICE</t>
        </is>
      </c>
      <c r="D132" s="28" t="inlineStr">
        <is>
          <t>PerilRouter</t>
        </is>
      </c>
      <c r="E132" s="29" t="inlineStr">
        <is>
          <t>PUT</t>
        </is>
      </c>
      <c r="F132" s="28" t="inlineStr">
        <is>
          <t>/api/triggers/perils/{perilId}/status</t>
        </is>
      </c>
      <c r="G132" s="28" t="inlineStr">
        <is>
          <t>application/json</t>
        </is>
      </c>
      <c r="H132" s="28" t="inlineStr">
        <is>
          <t>Secured</t>
        </is>
      </c>
      <c r="I132" s="28" t="inlineStr">
        <is>
          <t>ADMIN</t>
        </is>
      </c>
      <c r="J132" s="28" t="inlineStr">
        <is>
          <t>JWT required (Bearer)</t>
        </is>
      </c>
      <c r="K132" s="28" t="inlineStr">
        <is>
          <t>PerilHandler.updateStatus()</t>
        </is>
      </c>
      <c r="L132" s="28" t="inlineStr">
        <is>
          <t>PerilService.updateStatus()</t>
        </is>
      </c>
      <c r="M132" s="28" t="inlineStr">
        <is>
          <t>Change peril status.</t>
        </is>
      </c>
      <c r="N132" s="28" t="inlineStr">
        <is>
          <t>DB</t>
        </is>
      </c>
      <c r="O132" s="28" t="inlineStr">
        <is>
          <t>PerilService.updatePerilStatus</t>
        </is>
      </c>
      <c r="P132" s="28" t="inlineStr">
        <is>
          <t>/admin/perils</t>
        </is>
      </c>
    </row>
    <row r="133" ht="52.5" customHeight="1" s="20">
      <c r="A133" s="28" t="inlineStr">
        <is>
          <t>EP-130</t>
        </is>
      </c>
      <c r="B133" s="28" t="inlineStr">
        <is>
          <t>Trigger Service</t>
        </is>
      </c>
      <c r="C133" s="28" t="inlineStr">
        <is>
          <t>TRIGGER-SERVICE</t>
        </is>
      </c>
      <c r="D133" s="28" t="inlineStr">
        <is>
          <t>PerilRouter</t>
        </is>
      </c>
      <c r="E133" s="29" t="inlineStr">
        <is>
          <t>DELETE</t>
        </is>
      </c>
      <c r="F133" s="28" t="inlineStr">
        <is>
          <t>/api/triggers/perils/{perilId}</t>
        </is>
      </c>
      <c r="G133" s="28" t="inlineStr">
        <is>
          <t>-</t>
        </is>
      </c>
      <c r="H133" s="28" t="inlineStr">
        <is>
          <t>Secured</t>
        </is>
      </c>
      <c r="I133" s="28" t="inlineStr">
        <is>
          <t>ADMIN</t>
        </is>
      </c>
      <c r="J133" s="28" t="inlineStr">
        <is>
          <t>JWT required (Bearer)</t>
        </is>
      </c>
      <c r="K133" s="28" t="inlineStr">
        <is>
          <t>PerilHandler.archive()</t>
        </is>
      </c>
      <c r="L133" s="28" t="inlineStr">
        <is>
          <t>PerilService.archive()</t>
        </is>
      </c>
      <c r="M133" s="28" t="inlineStr">
        <is>
          <t>Archive a peril.</t>
        </is>
      </c>
      <c r="N133" s="28" t="inlineStr">
        <is>
          <t>DB</t>
        </is>
      </c>
      <c r="O133" s="28" t="inlineStr">
        <is>
          <t>PerilService.archivePeril</t>
        </is>
      </c>
      <c r="P133" s="28" t="inlineStr">
        <is>
          <t>/admin/perils</t>
        </is>
      </c>
    </row>
    <row r="134" ht="87.5" customHeight="1" s="20">
      <c r="A134" s="28" t="inlineStr">
        <is>
          <t>EP-131</t>
        </is>
      </c>
      <c r="B134" s="28" t="inlineStr">
        <is>
          <t>Trigger Service</t>
        </is>
      </c>
      <c r="C134" s="28" t="inlineStr">
        <is>
          <t>TRIGGER-SERVICE</t>
        </is>
      </c>
      <c r="D134" s="28" t="inlineStr">
        <is>
          <t>TriggerDefinitionRouter</t>
        </is>
      </c>
      <c r="E134" s="29" t="inlineStr">
        <is>
          <t>GET</t>
        </is>
      </c>
      <c r="F134" s="28" t="inlineStr">
        <is>
          <t>/api/triggers/definitions/{definitionId}</t>
        </is>
      </c>
      <c r="G134" s="28" t="inlineStr">
        <is>
          <t>application/json</t>
        </is>
      </c>
      <c r="H134" s="28" t="inlineStr">
        <is>
          <t>Secured</t>
        </is>
      </c>
      <c r="I134" s="28" t="inlineStr">
        <is>
          <t>ADMIN, UNDERWRITER, CLAIMS_OFFICER</t>
        </is>
      </c>
      <c r="J134" s="28" t="inlineStr">
        <is>
          <t>JWT required (Bearer)</t>
        </is>
      </c>
      <c r="K134" s="28" t="inlineStr">
        <is>
          <t>TriggerDefinitionHandler.getById()</t>
        </is>
      </c>
      <c r="L134" s="28" t="inlineStr">
        <is>
          <t>-</t>
        </is>
      </c>
      <c r="M134" s="28" t="inlineStr">
        <is>
          <t>One trigger definition (shown on a trigger event). Definitions are created and updated only by the product sync.</t>
        </is>
      </c>
      <c r="N134" s="28" t="inlineStr">
        <is>
          <t>DB read</t>
        </is>
      </c>
      <c r="O134" s="28" t="inlineStr">
        <is>
          <t>TriggerEventService.getTriggerDefinition</t>
        </is>
      </c>
      <c r="P134" s="28" t="inlineStr">
        <is>
          <t>/admin/trigger-events</t>
        </is>
      </c>
    </row>
    <row r="135" ht="70" customHeight="1" s="20">
      <c r="A135" s="28" t="inlineStr">
        <is>
          <t>EP-132</t>
        </is>
      </c>
      <c r="B135" s="28" t="inlineStr">
        <is>
          <t>Trigger Service</t>
        </is>
      </c>
      <c r="C135" s="28" t="inlineStr">
        <is>
          <t>TRIGGER-SERVICE</t>
        </is>
      </c>
      <c r="D135" s="28" t="inlineStr">
        <is>
          <t>TriggerDefinitionRouter</t>
        </is>
      </c>
      <c r="E135" s="29" t="inlineStr">
        <is>
          <t>PUT</t>
        </is>
      </c>
      <c r="F135" s="28" t="inlineStr">
        <is>
          <t>/internal/triggers/products/{productId}/definition</t>
        </is>
      </c>
      <c r="G135" s="28" t="inlineStr">
        <is>
          <t>application/json</t>
        </is>
      </c>
      <c r="H135" s="28" t="inlineStr">
        <is>
          <t>Internal</t>
        </is>
      </c>
      <c r="I135" s="28" t="inlineStr">
        <is>
          <t>INTERNAL</t>
        </is>
      </c>
      <c r="J135" s="28" t="inlineStr">
        <is>
          <t>Not routed by gateway - service-to-service only via Eureka (lb://) with X-Gateway-Key</t>
        </is>
      </c>
      <c r="K135" s="28" t="inlineStr">
        <is>
          <t>TriggerDefinitionHandler.syncProductDefinition()</t>
        </is>
      </c>
      <c r="L135" s="28" t="inlineStr">
        <is>
          <t>ProductTriggerSyncService.syncProductDefinition()</t>
        </is>
      </c>
      <c r="M135" s="28" t="inlineStr">
        <is>
          <t>Upsert the per-zone trigger definitions that mirror a product's trigger config (called by Product-Svc on create/update/threshold change/custom policy).</t>
        </is>
      </c>
      <c r="N135" s="28" t="inlineStr">
        <is>
          <t>DB: trigger_definitions, perils</t>
        </is>
      </c>
      <c r="O135" s="28" t="inlineStr">
        <is>
          <t>(service-to-service)</t>
        </is>
      </c>
      <c r="P135" s="28" t="inlineStr">
        <is>
          <t>-</t>
        </is>
      </c>
    </row>
    <row r="136" ht="70" customHeight="1" s="20">
      <c r="A136" s="28" t="inlineStr">
        <is>
          <t>EP-133</t>
        </is>
      </c>
      <c r="B136" s="28" t="inlineStr">
        <is>
          <t>Trigger Service</t>
        </is>
      </c>
      <c r="C136" s="28" t="inlineStr">
        <is>
          <t>TRIGGER-SERVICE</t>
        </is>
      </c>
      <c r="D136" s="28" t="inlineStr">
        <is>
          <t>TriggerEventRouter</t>
        </is>
      </c>
      <c r="E136" s="29" t="inlineStr">
        <is>
          <t>GET</t>
        </is>
      </c>
      <c r="F136" s="28" t="inlineStr">
        <is>
          <t>/api/triggers/events</t>
        </is>
      </c>
      <c r="G136" s="28" t="inlineStr">
        <is>
          <t>application/json</t>
        </is>
      </c>
      <c r="H136" s="28" t="inlineStr">
        <is>
          <t>Secured</t>
        </is>
      </c>
      <c r="I136" s="28" t="inlineStr">
        <is>
          <t>ADMIN, UNDERWRITER, CLAIMS_OFFICER</t>
        </is>
      </c>
      <c r="J136" s="28" t="inlineStr">
        <is>
          <t>JWT required (Bearer)</t>
        </is>
      </c>
      <c r="K136" s="28" t="inlineStr">
        <is>
          <t>TriggerEventHandler.getAll()</t>
        </is>
      </c>
      <c r="L136" s="28" t="inlineStr">
        <is>
          <t>TriggerEventService.getAll()</t>
        </is>
      </c>
      <c r="M136" s="28" t="inlineStr">
        <is>
          <t>All trigger events (created VERIFIED by the measurement console; PROCESSED after the payout).</t>
        </is>
      </c>
      <c r="N136" s="28" t="inlineStr">
        <is>
          <t>DB read: trigger_events</t>
        </is>
      </c>
      <c r="O136" s="28" t="inlineStr">
        <is>
          <t>TriggerEventService.getAllEvents</t>
        </is>
      </c>
      <c r="P136" s="28" t="inlineStr">
        <is>
          <t>/admin/trigger-events, /claims-officer/dashboard</t>
        </is>
      </c>
    </row>
    <row r="137" ht="52.5" customHeight="1" s="20">
      <c r="A137" s="28" t="inlineStr">
        <is>
          <t>EP-134</t>
        </is>
      </c>
      <c r="B137" s="28" t="inlineStr">
        <is>
          <t>Trigger Service</t>
        </is>
      </c>
      <c r="C137" s="28" t="inlineStr">
        <is>
          <t>TRIGGER-SERVICE</t>
        </is>
      </c>
      <c r="D137" s="28" t="inlineStr">
        <is>
          <t>TriggerEventRouter</t>
        </is>
      </c>
      <c r="E137" s="29" t="inlineStr">
        <is>
          <t>GET</t>
        </is>
      </c>
      <c r="F137" s="28" t="inlineStr">
        <is>
          <t>/api/triggers/events/{eventId}</t>
        </is>
      </c>
      <c r="G137" s="28" t="inlineStr">
        <is>
          <t>application/json</t>
        </is>
      </c>
      <c r="H137" s="28" t="inlineStr">
        <is>
          <t>Secured</t>
        </is>
      </c>
      <c r="I137" s="28" t="inlineStr">
        <is>
          <t>ADMIN, UNDERWRITER, CLAIMS_OFFICER</t>
        </is>
      </c>
      <c r="J137" s="28" t="inlineStr">
        <is>
          <t>JWT required (Bearer)</t>
        </is>
      </c>
      <c r="K137" s="28" t="inlineStr">
        <is>
          <t>TriggerEventHandler.getById()</t>
        </is>
      </c>
      <c r="L137" s="28" t="inlineStr">
        <is>
          <t>-</t>
        </is>
      </c>
      <c r="M137" s="28" t="inlineStr">
        <is>
          <t>One trigger event with its definition, peril and zone.</t>
        </is>
      </c>
      <c r="N137" s="28" t="inlineStr">
        <is>
          <t>DB read</t>
        </is>
      </c>
      <c r="O137" s="28" t="inlineStr">
        <is>
          <t>TriggerEventService.getEvent</t>
        </is>
      </c>
      <c r="P137" s="28" t="inlineStr">
        <is>
          <t>-</t>
        </is>
      </c>
    </row>
    <row r="138" ht="36" customHeight="1" s="20">
      <c r="A138" s="28" t="inlineStr">
        <is>
          <t>EP-135</t>
        </is>
      </c>
      <c r="B138" s="28" t="inlineStr">
        <is>
          <t>Trigger Service</t>
        </is>
      </c>
      <c r="C138" s="28" t="inlineStr">
        <is>
          <t>TRIGGER-SERVICE</t>
        </is>
      </c>
      <c r="D138" s="28" t="inlineStr">
        <is>
          <t>TriggerEventRouter</t>
        </is>
      </c>
      <c r="E138" s="29" t="inlineStr">
        <is>
          <t>PUT</t>
        </is>
      </c>
      <c r="F138" s="28" t="inlineStr">
        <is>
          <t>/internal/triggers/events/{eventId}/processed</t>
        </is>
      </c>
      <c r="G138" s="28" t="inlineStr">
        <is>
          <t>-</t>
        </is>
      </c>
      <c r="H138" s="28" t="inlineStr">
        <is>
          <t>Internal</t>
        </is>
      </c>
      <c r="I138" s="28" t="inlineStr">
        <is>
          <t>INTERNAL</t>
        </is>
      </c>
      <c r="J138" s="28" t="inlineStr">
        <is>
          <t>Not routed by gateway - service-to-service only via Eureka (lb://) with X-Gateway-Key</t>
        </is>
      </c>
      <c r="K138" s="28" t="inlineStr">
        <is>
          <t>TriggerEventHandler.markProcessed()</t>
        </is>
      </c>
      <c r="L138" s="28" t="inlineStr">
        <is>
          <t>-</t>
        </is>
      </c>
      <c r="M138" s="28" t="inlineStr">
        <is>
          <t>Mark VERIFIED event PROCESSED (called by Financial-Svc when a trigger payout succeeds).</t>
        </is>
      </c>
      <c r="N138" s="28" t="inlineStr">
        <is>
          <t>DB: trigger_events</t>
        </is>
      </c>
      <c r="O138" s="28" t="inlineStr">
        <is>
          <t>(service-to-service)</t>
        </is>
      </c>
      <c r="P138" s="28" t="inlineStr">
        <is>
          <t>-</t>
        </is>
      </c>
    </row>
    <row r="139" ht="140" customHeight="1" s="20">
      <c r="A139" s="28" t="inlineStr">
        <is>
          <t>EP-136</t>
        </is>
      </c>
      <c r="B139" s="28" t="inlineStr">
        <is>
          <t>Trigger Service</t>
        </is>
      </c>
      <c r="C139" s="28" t="inlineStr">
        <is>
          <t>TRIGGER-SERVICE</t>
        </is>
      </c>
      <c r="D139" s="28" t="inlineStr">
        <is>
          <t>ZoneMeasurementRouter</t>
        </is>
      </c>
      <c r="E139" s="29" t="inlineStr">
        <is>
          <t>GET</t>
        </is>
      </c>
      <c r="F139" s="28" t="inlineStr">
        <is>
          <t>/api/triggers/measurements/zones</t>
        </is>
      </c>
      <c r="G139" s="28" t="inlineStr">
        <is>
          <t>application/json</t>
        </is>
      </c>
      <c r="H139" s="28" t="inlineStr">
        <is>
          <t>Secured</t>
        </is>
      </c>
      <c r="I139" s="28" t="inlineStr">
        <is>
          <t>AUTHENTICATED</t>
        </is>
      </c>
      <c r="J139" s="28" t="inlineStr">
        <is>
          <t>JWT required (Bearer)</t>
        </is>
      </c>
      <c r="K139" s="28" t="inlineStr">
        <is>
          <t>ZoneMeasurementService (inline lambda).latestPerZone()</t>
        </is>
      </c>
      <c r="L139" s="28" t="inlineStr">
        <is>
          <t>ZoneMeasurementService.latestPerZone()</t>
        </is>
      </c>
      <c r="M139" s="28" t="inlineStr">
        <is>
          <t>Latest weather readings per zone for the zone map.</t>
        </is>
      </c>
      <c r="N139" s="28" t="inlineStr">
        <is>
          <t>DB read</t>
        </is>
      </c>
      <c r="O139" s="28" t="inlineStr">
        <is>
          <t>CurrentMeasurementService.getZoneMeasurements</t>
        </is>
      </c>
      <c r="P139" s="28" t="inlineStr">
        <is>
          <t>/admin/zone-map, /customer/zone-map</t>
        </is>
      </c>
    </row>
    <row r="140" ht="35" customHeight="1" s="20">
      <c r="A140" s="28" t="inlineStr">
        <is>
          <t>EP-137</t>
        </is>
      </c>
      <c r="B140" s="28" t="inlineStr">
        <is>
          <t>Trigger Service</t>
        </is>
      </c>
      <c r="C140" s="28" t="inlineStr">
        <is>
          <t>TRIGGER-SERVICE</t>
        </is>
      </c>
      <c r="D140" s="28" t="inlineStr">
        <is>
          <t>PerilRouter</t>
        </is>
      </c>
      <c r="E140" s="29" t="inlineStr">
        <is>
          <t>GET</t>
        </is>
      </c>
      <c r="F140" s="28" t="inlineStr">
        <is>
          <t>/api/triggers/perils/archived</t>
        </is>
      </c>
      <c r="G140" s="28" t="inlineStr">
        <is>
          <t>application/json</t>
        </is>
      </c>
      <c r="H140" s="28" t="inlineStr">
        <is>
          <t>Secured</t>
        </is>
      </c>
      <c r="I140" s="28" t="inlineStr">
        <is>
          <t>ADMIN</t>
        </is>
      </c>
      <c r="J140" s="28" t="inlineStr">
        <is>
          <t>JWT required (Bearer)</t>
        </is>
      </c>
      <c r="K140" s="28" t="inlineStr">
        <is>
          <t>PerilHandler.getArchived()</t>
        </is>
      </c>
      <c r="L140" s="28" t="inlineStr">
        <is>
          <t>PerilService.getArchived()</t>
        </is>
      </c>
      <c r="M140" s="28" t="inlineStr">
        <is>
          <t>Archived perils (for the "Show archived" panel).</t>
        </is>
      </c>
      <c r="N140" s="28" t="inlineStr">
        <is>
          <t>DB read: perils</t>
        </is>
      </c>
      <c r="O140" s="28" t="inlineStr">
        <is>
          <t>PerilService.getArchivedPerils</t>
        </is>
      </c>
      <c r="P140" s="28" t="inlineStr">
        <is>
          <t>/admin/perils</t>
        </is>
      </c>
    </row>
    <row r="141" ht="52.5" customHeight="1" s="20">
      <c r="A141" s="28" t="inlineStr">
        <is>
          <t>EP-138</t>
        </is>
      </c>
      <c r="B141" s="28" t="inlineStr">
        <is>
          <t>Trigger Service</t>
        </is>
      </c>
      <c r="C141" s="28" t="inlineStr">
        <is>
          <t>TRIGGER-SERVICE</t>
        </is>
      </c>
      <c r="D141" s="28" t="inlineStr">
        <is>
          <t>PerilRouter</t>
        </is>
      </c>
      <c r="E141" s="29" t="inlineStr">
        <is>
          <t>PUT</t>
        </is>
      </c>
      <c r="F141" s="28" t="inlineStr">
        <is>
          <t>/api/triggers/perils/{perilId}/restore</t>
        </is>
      </c>
      <c r="G141" s="28" t="inlineStr">
        <is>
          <t>-</t>
        </is>
      </c>
      <c r="H141" s="28" t="inlineStr">
        <is>
          <t>Secured</t>
        </is>
      </c>
      <c r="I141" s="28" t="inlineStr">
        <is>
          <t>ADMIN</t>
        </is>
      </c>
      <c r="J141" s="28" t="inlineStr">
        <is>
          <t>JWT required (Bearer)</t>
        </is>
      </c>
      <c r="K141" s="28" t="inlineStr">
        <is>
          <t>PerilHandler.restore()</t>
        </is>
      </c>
      <c r="L141" s="28" t="inlineStr">
        <is>
          <t>PerilService.restore()</t>
        </is>
      </c>
      <c r="M141" s="28" t="inlineStr">
        <is>
          <t>Restore an archived peril; it comes back INACTIVE (409 if not archived).</t>
        </is>
      </c>
      <c r="N141" s="28" t="inlineStr">
        <is>
          <t>DB: perils</t>
        </is>
      </c>
      <c r="O141" s="28" t="inlineStr">
        <is>
          <t>PerilService.restorePeril</t>
        </is>
      </c>
      <c r="P141" s="28" t="inlineStr">
        <is>
          <t>/admin/perils</t>
        </is>
      </c>
    </row>
    <row r="142" ht="35" customHeight="1" s="20">
      <c r="A142" s="28" t="inlineStr">
        <is>
          <t>EP-139</t>
        </is>
      </c>
      <c r="B142" s="28" t="inlineStr">
        <is>
          <t>Trigger Service</t>
        </is>
      </c>
      <c r="C142" s="28" t="inlineStr">
        <is>
          <t>TRIGGER-SERVICE</t>
        </is>
      </c>
      <c r="D142" s="28" t="inlineStr">
        <is>
          <t>LocationZoneRouter</t>
        </is>
      </c>
      <c r="E142" s="29" t="inlineStr">
        <is>
          <t>GET</t>
        </is>
      </c>
      <c r="F142" s="28" t="inlineStr">
        <is>
          <t>/api/triggers/zones/archived</t>
        </is>
      </c>
      <c r="G142" s="28" t="inlineStr">
        <is>
          <t>application/json</t>
        </is>
      </c>
      <c r="H142" s="28" t="inlineStr">
        <is>
          <t>Secured</t>
        </is>
      </c>
      <c r="I142" s="28" t="inlineStr">
        <is>
          <t>ADMIN</t>
        </is>
      </c>
      <c r="J142" s="28" t="inlineStr">
        <is>
          <t>JWT required (Bearer)</t>
        </is>
      </c>
      <c r="K142" s="28" t="inlineStr">
        <is>
          <t>LocationZoneHandler.getArchived()</t>
        </is>
      </c>
      <c r="L142" s="28" t="inlineStr">
        <is>
          <t>LocationZoneService.getArchived()</t>
        </is>
      </c>
      <c r="M142" s="28" t="inlineStr">
        <is>
          <t>Archived zones (for the "Show archived" panel).</t>
        </is>
      </c>
      <c r="N142" s="28" t="inlineStr">
        <is>
          <t>DB read: location_zones</t>
        </is>
      </c>
      <c r="O142" s="28" t="inlineStr">
        <is>
          <t>ZoneService.getArchivedZones</t>
        </is>
      </c>
      <c r="P142" s="28" t="inlineStr">
        <is>
          <t>/admin/zones</t>
        </is>
      </c>
    </row>
    <row r="143" ht="70" customHeight="1" s="20">
      <c r="A143" s="28" t="inlineStr">
        <is>
          <t>EP-140</t>
        </is>
      </c>
      <c r="B143" s="28" t="inlineStr">
        <is>
          <t>Trigger Service</t>
        </is>
      </c>
      <c r="C143" s="28" t="inlineStr">
        <is>
          <t>TRIGGER-SERVICE</t>
        </is>
      </c>
      <c r="D143" s="28" t="inlineStr">
        <is>
          <t>LocationZoneRouter</t>
        </is>
      </c>
      <c r="E143" s="29" t="inlineStr">
        <is>
          <t>PUT</t>
        </is>
      </c>
      <c r="F143" s="28" t="inlineStr">
        <is>
          <t>/api/triggers/zones/{zoneId}/restore</t>
        </is>
      </c>
      <c r="G143" s="28" t="inlineStr">
        <is>
          <t>-</t>
        </is>
      </c>
      <c r="H143" s="28" t="inlineStr">
        <is>
          <t>Secured</t>
        </is>
      </c>
      <c r="I143" s="28" t="inlineStr">
        <is>
          <t>ADMIN</t>
        </is>
      </c>
      <c r="J143" s="28" t="inlineStr">
        <is>
          <t>JWT required (Bearer)</t>
        </is>
      </c>
      <c r="K143" s="28" t="inlineStr">
        <is>
          <t>LocationZoneHandler.restore()</t>
        </is>
      </c>
      <c r="L143" s="28" t="inlineStr">
        <is>
          <t>LocationZoneService.restore()</t>
        </is>
      </c>
      <c r="M143" s="28" t="inlineStr">
        <is>
          <t>Restore an archived zone; it comes back INACTIVE (409 if not archived).</t>
        </is>
      </c>
      <c r="N143" s="28" t="inlineStr">
        <is>
          <t>DB: location_zones</t>
        </is>
      </c>
      <c r="O143" s="28" t="inlineStr">
        <is>
          <t>ZoneService.restoreZone</t>
        </is>
      </c>
      <c r="P143" s="28" t="inlineStr">
        <is>
          <t>/admin/zones</t>
        </is>
      </c>
    </row>
    <row r="144" ht="87.5" customHeight="1" s="20">
      <c r="A144" s="28" t="inlineStr">
        <is>
          <t>EP-141</t>
        </is>
      </c>
      <c r="B144" s="28" t="inlineStr">
        <is>
          <t>Trigger Service</t>
        </is>
      </c>
      <c r="C144" s="28" t="inlineStr">
        <is>
          <t>TRIGGER-SERVICE</t>
        </is>
      </c>
      <c r="D144" s="28" t="inlineStr">
        <is>
          <t>LocationZoneRouter</t>
        </is>
      </c>
      <c r="E144" s="29" t="inlineStr">
        <is>
          <t>PUT</t>
        </is>
      </c>
      <c r="F144" s="28" t="inlineStr">
        <is>
          <t>/api/triggers/zones/{zoneId}/alert</t>
        </is>
      </c>
      <c r="G144" s="28" t="inlineStr">
        <is>
          <t>application/json</t>
        </is>
      </c>
      <c r="H144" s="28" t="inlineStr">
        <is>
          <t>Secured</t>
        </is>
      </c>
      <c r="I144" s="28" t="inlineStr">
        <is>
          <t>ADMIN</t>
        </is>
      </c>
      <c r="J144" s="28" t="inlineStr">
        <is>
          <t>JWT required (Bearer)</t>
        </is>
      </c>
      <c r="K144" s="28" t="inlineStr">
        <is>
          <t>LocationZoneHandler.updateAlert()</t>
        </is>
      </c>
      <c r="L144" s="28" t="inlineStr">
        <is>
          <t>LocationZoneService.updateAlert()</t>
        </is>
      </c>
      <c r="M144" s="28" t="inlineStr">
        <is>
          <t>Turn a weather alert for a zone on (with message, max 500) or off.</t>
        </is>
      </c>
      <c r="N144" s="28" t="inlineStr">
        <is>
          <t>DB: location_zones</t>
        </is>
      </c>
      <c r="O144" s="28" t="inlineStr">
        <is>
          <t>ZoneService.updateZoneAlert</t>
        </is>
      </c>
      <c r="P144" s="28" t="inlineStr">
        <is>
          <t>/admin/zones</t>
        </is>
      </c>
    </row>
    <row r="145" ht="87.5" customHeight="1" s="20">
      <c r="A145" s="28" t="inlineStr">
        <is>
          <t>EP-142</t>
        </is>
      </c>
      <c r="B145" s="28" t="inlineStr">
        <is>
          <t>Trigger Service</t>
        </is>
      </c>
      <c r="C145" s="28" t="inlineStr">
        <is>
          <t>TRIGGER-SERVICE</t>
        </is>
      </c>
      <c r="D145" s="28" t="inlineStr">
        <is>
          <t>LocationZoneRouter</t>
        </is>
      </c>
      <c r="E145" s="29" t="inlineStr">
        <is>
          <t>PUT</t>
        </is>
      </c>
      <c r="F145" s="28" t="inlineStr">
        <is>
          <t>/api/triggers/zones/{zoneId}/exposure-cap</t>
        </is>
      </c>
      <c r="G145" s="28" t="inlineStr">
        <is>
          <t>application/json</t>
        </is>
      </c>
      <c r="H145" s="28" t="inlineStr">
        <is>
          <t>Secured</t>
        </is>
      </c>
      <c r="I145" s="28" t="inlineStr">
        <is>
          <t>ADMIN</t>
        </is>
      </c>
      <c r="J145" s="28" t="inlineStr">
        <is>
          <t>JWT required (Bearer)</t>
        </is>
      </c>
      <c r="K145" s="28" t="inlineStr">
        <is>
          <t>LocationZoneHandler.updateExposureCap()</t>
        </is>
      </c>
      <c r="L145" s="28" t="inlineStr">
        <is>
          <t>LocationZoneService.updateExposureCap()</t>
        </is>
      </c>
      <c r="M145" s="28" t="inlineStr">
        <is>
          <t>Set the zone exposure cap (empty = no cap, otherwise at least 1).</t>
        </is>
      </c>
      <c r="N145" s="28" t="inlineStr">
        <is>
          <t>DB: location_zones</t>
        </is>
      </c>
      <c r="O145" s="28" t="inlineStr">
        <is>
          <t>ZoneService.updateExposureCap</t>
        </is>
      </c>
      <c r="P145" s="28" t="inlineStr">
        <is>
          <t>/admin/zone-exposure</t>
        </is>
      </c>
    </row>
    <row r="146" ht="87.5" customHeight="1" s="20">
      <c r="A146" s="28" t="inlineStr">
        <is>
          <t>EP-143</t>
        </is>
      </c>
      <c r="B146" s="28" t="inlineStr">
        <is>
          <t>Trigger Service</t>
        </is>
      </c>
      <c r="C146" s="28" t="inlineStr">
        <is>
          <t>TRIGGER-SERVICE</t>
        </is>
      </c>
      <c r="D146" s="28" t="inlineStr">
        <is>
          <t>MeasurementRouter</t>
        </is>
      </c>
      <c r="E146" s="29" t="inlineStr">
        <is>
          <t>PUT</t>
        </is>
      </c>
      <c r="F146" s="28" t="inlineStr">
        <is>
          <t>/api/triggers/measurements/current</t>
        </is>
      </c>
      <c r="G146" s="28" t="inlineStr">
        <is>
          <t>application/json</t>
        </is>
      </c>
      <c r="H146" s="28" t="inlineStr">
        <is>
          <t>Secured</t>
        </is>
      </c>
      <c r="I146" s="28" t="inlineStr">
        <is>
          <t>ADMIN</t>
        </is>
      </c>
      <c r="J146" s="28" t="inlineStr">
        <is>
          <t>JWT required (Bearer)</t>
        </is>
      </c>
      <c r="K146" s="28" t="inlineStr">
        <is>
          <t>MeasurementHandler.recordManualReading()</t>
        </is>
      </c>
      <c r="L146" s="28" t="inlineStr">
        <is>
          <t>MeasurementService.recordManualReading()</t>
        </is>
      </c>
      <c r="M146" s="28" t="inlineStr">
        <is>
          <t>Header measurement panel: set a live value for a measurement in every active zone (held 60 min before the demo feed resumes) and evaluate the selected products.</t>
        </is>
      </c>
      <c r="N146" s="28" t="inlineStr">
        <is>
          <t>DB: observations, current_measurements, trigger_events | Product-Svc GET /internal/products/{id} | Claims-Svc POST /internal/claims/from-trigger-event</t>
        </is>
      </c>
      <c r="O146" s="28" t="inlineStr">
        <is>
          <t>CurrentMeasurementService.setCurrentReading</t>
        </is>
      </c>
      <c r="P146" s="28" t="inlineStr">
        <is>
          <t>(header measurement panel, all admin pages)</t>
        </is>
      </c>
    </row>
    <row r="147" ht="87.5" customHeight="1" s="20">
      <c r="A147" s="33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3" t="n"/>
      <c r="P147" s="33" t="n"/>
    </row>
    <row r="148" ht="87.5" customHeight="1" s="20">
      <c r="A148" s="33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3" t="n"/>
      <c r="O148" s="33" t="n"/>
      <c r="P148" s="33" t="n"/>
    </row>
    <row r="149" ht="35" customHeight="1" s="20">
      <c r="A149" s="33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3" t="n"/>
      <c r="N149" s="33" t="n"/>
      <c r="O149" s="33" t="n"/>
      <c r="P149" s="33" t="n"/>
    </row>
    <row r="150" ht="122.5" customHeight="1" s="20">
      <c r="A150" s="33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3" t="n"/>
      <c r="N150" s="33" t="n"/>
      <c r="O150" s="33" t="n"/>
      <c r="P150" s="33" t="n"/>
    </row>
    <row r="151" ht="192.5" customHeight="1" s="20">
      <c r="A151" s="33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3" t="n"/>
      <c r="N151" s="33" t="n"/>
      <c r="O151" s="33" t="n"/>
      <c r="P151" s="33" t="n"/>
    </row>
    <row r="152" ht="140" customHeight="1" s="20">
      <c r="A152" s="33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</row>
    <row r="153" ht="35" customHeight="1" s="20">
      <c r="A153" s="33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3" t="n"/>
      <c r="N153" s="33" t="n"/>
      <c r="O153" s="33" t="n"/>
      <c r="P153" s="33" t="n"/>
    </row>
    <row r="154" ht="35" customHeight="1" s="20">
      <c r="A154" s="33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3" t="n"/>
      <c r="N154" s="33" t="n"/>
      <c r="O154" s="33" t="n"/>
      <c r="P154" s="33" t="n"/>
    </row>
    <row r="155" ht="35" customHeight="1" s="20">
      <c r="A155" s="33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3" t="n"/>
      <c r="P155" s="33" t="n"/>
    </row>
    <row r="156" ht="36" customHeight="1" s="20">
      <c r="A156" s="33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3" t="n"/>
      <c r="P156" s="33" t="n"/>
    </row>
    <row r="157" ht="70" customHeight="1" s="20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3" t="n"/>
      <c r="N157" s="33" t="n"/>
      <c r="O157" s="33" t="n"/>
      <c r="P157" s="33" t="n"/>
    </row>
    <row r="158" ht="70" customHeight="1" s="20">
      <c r="A158" s="33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3" t="n"/>
      <c r="N158" s="33" t="n"/>
      <c r="O158" s="33" t="n"/>
      <c r="P158" s="33" t="n"/>
    </row>
    <row r="159" ht="52.5" customHeight="1" s="20">
      <c r="A159" s="33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3" t="n"/>
      <c r="N159" s="33" t="n"/>
      <c r="O159" s="33" t="n"/>
      <c r="P159" s="33" t="n"/>
    </row>
    <row r="160" ht="52.5" customHeight="1" s="20">
      <c r="A160" s="33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3" t="n"/>
      <c r="N160" s="33" t="n"/>
      <c r="O160" s="33" t="n"/>
      <c r="P160" s="33" t="n"/>
    </row>
    <row r="161" ht="105" customHeight="1" s="20">
      <c r="A161" s="33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3" t="n"/>
      <c r="N161" s="33" t="n"/>
      <c r="O161" s="33" t="n"/>
      <c r="P161" s="33" t="n"/>
    </row>
    <row r="162" ht="70" customHeight="1" s="20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3" t="n"/>
      <c r="P162" s="33" t="n"/>
    </row>
    <row r="163" ht="70" customHeight="1" s="20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3" t="n"/>
      <c r="N163" s="33" t="n"/>
      <c r="O163" s="33" t="n"/>
      <c r="P163" s="33" t="n"/>
    </row>
    <row r="164" ht="52.5" customHeight="1" s="20">
      <c r="A164" s="33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3" t="n"/>
      <c r="N164" s="33" t="n"/>
      <c r="O164" s="33" t="n"/>
      <c r="P164" s="33" t="n"/>
    </row>
    <row r="165" ht="52.5" customHeight="1" s="20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3" t="n"/>
      <c r="P165" s="33" t="n"/>
    </row>
    <row r="166" ht="52.5" customHeight="1" s="20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3" t="n"/>
      <c r="P166" s="33" t="n"/>
    </row>
    <row r="167" ht="52.5" customHeight="1" s="20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3" t="n"/>
      <c r="N167" s="33" t="n"/>
      <c r="O167" s="33" t="n"/>
      <c r="P167" s="33" t="n"/>
    </row>
    <row r="168" ht="52.5" customHeight="1" s="20">
      <c r="A168" s="33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3" t="n"/>
      <c r="N168" s="33" t="n"/>
      <c r="O168" s="33" t="n"/>
      <c r="P168" s="33" t="n"/>
    </row>
    <row r="169" ht="52.5" customHeight="1" s="20">
      <c r="A169" s="33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3" t="n"/>
      <c r="N169" s="33" t="n"/>
      <c r="O169" s="33" t="n"/>
      <c r="P169" s="33" t="n"/>
    </row>
    <row r="170" ht="52.5" customHeight="1" s="20">
      <c r="A170" s="33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3" t="n"/>
      <c r="N170" s="33" t="n"/>
      <c r="O170" s="33" t="n"/>
      <c r="P170" s="33" t="n"/>
    </row>
    <row r="171" ht="35" customHeight="1" s="20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3" t="n"/>
      <c r="P171" s="33" t="n"/>
    </row>
    <row r="172" ht="52.5" customHeight="1" s="20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3" t="n"/>
      <c r="P172" s="33" t="n"/>
    </row>
    <row r="173" ht="35" customHeight="1" s="20">
      <c r="A173" s="33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3" t="n"/>
      <c r="N173" s="33" t="n"/>
      <c r="O173" s="33" t="n"/>
      <c r="P173" s="33" t="n"/>
    </row>
    <row r="174" ht="35" customHeight="1" s="20">
      <c r="A174" s="33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3" t="n"/>
      <c r="N174" s="33" t="n"/>
      <c r="O174" s="33" t="n"/>
      <c r="P174" s="33" t="n"/>
    </row>
    <row r="175" ht="35" customHeight="1" s="20">
      <c r="A175" s="33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3" t="n"/>
      <c r="N175" s="33" t="n"/>
      <c r="O175" s="33" t="n"/>
      <c r="P175" s="33" t="n"/>
    </row>
    <row r="176" ht="52.5" customHeight="1" s="20">
      <c r="A176" s="33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3" t="n"/>
      <c r="N176" s="33" t="n"/>
      <c r="O176" s="33" t="n"/>
      <c r="P176" s="33" t="n"/>
    </row>
    <row r="177" ht="52.5" customHeight="1" s="20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3" t="n"/>
      <c r="P177" s="33" t="n"/>
    </row>
    <row r="178" ht="35" customHeight="1" s="20">
      <c r="A178" s="33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3" t="n"/>
      <c r="N178" s="33" t="n"/>
      <c r="O178" s="33" t="n"/>
      <c r="P178" s="33" t="n"/>
    </row>
    <row r="179" ht="35" customHeight="1" s="20">
      <c r="A179" s="33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3" t="n"/>
      <c r="N179" s="33" t="n"/>
      <c r="O179" s="33" t="n"/>
      <c r="P179" s="33" t="n"/>
    </row>
    <row r="180" ht="35" customHeight="1" s="20">
      <c r="A180" s="33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3" t="n"/>
      <c r="N180" s="33" t="n"/>
      <c r="O180" s="33" t="n"/>
      <c r="P180" s="33" t="n"/>
    </row>
    <row r="181" ht="36" customHeight="1" s="20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3" t="n"/>
      <c r="N181" s="33" t="n"/>
      <c r="O181" s="33" t="n"/>
      <c r="P181" s="33" t="n"/>
    </row>
    <row r="182" ht="87.5" customHeight="1" s="20">
      <c r="A182" s="33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3" t="n"/>
      <c r="N182" s="33" t="n"/>
      <c r="O182" s="33" t="n"/>
      <c r="P182" s="33" t="n"/>
    </row>
    <row r="183" ht="52.5" customHeight="1" s="20">
      <c r="A183" s="33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3" t="n"/>
      <c r="N183" s="33" t="n"/>
      <c r="O183" s="33" t="n"/>
      <c r="P183" s="33" t="n"/>
    </row>
    <row r="184" ht="52.5" customHeight="1" s="20">
      <c r="A184" s="33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3" t="n"/>
      <c r="N184" s="33" t="n"/>
      <c r="O184" s="33" t="n"/>
      <c r="P184" s="33" t="n"/>
    </row>
    <row r="185" ht="52.5" customHeight="1" s="20">
      <c r="A185" s="33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3" t="n"/>
      <c r="N185" s="33" t="n"/>
      <c r="O185" s="33" t="n"/>
      <c r="P185" s="33" t="n"/>
    </row>
    <row r="186" ht="52.5" customHeight="1" s="20">
      <c r="A186" s="33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3" t="n"/>
      <c r="N186" s="33" t="n"/>
      <c r="O186" s="33" t="n"/>
      <c r="P186" s="33" t="n"/>
    </row>
    <row r="187" ht="52.5" customHeight="1" s="20">
      <c r="A187" s="33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3" t="n"/>
      <c r="N187" s="33" t="n"/>
      <c r="O187" s="33" t="n"/>
      <c r="P187" s="33" t="n"/>
    </row>
    <row r="188" ht="52.5" customHeight="1" s="20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3" t="n"/>
      <c r="P188" s="33" t="n"/>
    </row>
    <row r="189" ht="52.5" customHeight="1" s="20">
      <c r="A189" s="33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3" t="n"/>
      <c r="N189" s="33" t="n"/>
      <c r="O189" s="33" t="n"/>
      <c r="P189" s="33" t="n"/>
    </row>
    <row r="190" ht="35" customHeight="1" s="20">
      <c r="A190" s="33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3" t="n"/>
      <c r="N190" s="33" t="n"/>
      <c r="O190" s="33" t="n"/>
      <c r="P190" s="33" t="n"/>
    </row>
    <row r="191" ht="35" customHeight="1" s="20">
      <c r="A191" s="33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3" t="n"/>
      <c r="N191" s="33" t="n"/>
      <c r="O191" s="33" t="n"/>
      <c r="P191" s="33" t="n"/>
    </row>
    <row r="192" ht="36" customHeight="1" s="20">
      <c r="A192" s="33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3" t="n"/>
      <c r="N192" s="33" t="n"/>
      <c r="O192" s="33" t="n"/>
      <c r="P192" s="33" t="n"/>
    </row>
    <row r="193" ht="70" customHeight="1" s="20">
      <c r="A193" s="33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3" t="n"/>
      <c r="N193" s="33" t="n"/>
      <c r="O193" s="33" t="n"/>
      <c r="P193" s="33" t="n"/>
    </row>
    <row r="194" ht="52.5" customHeight="1" s="20">
      <c r="A194" s="33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3" t="n"/>
      <c r="N194" s="33" t="n"/>
      <c r="O194" s="33" t="n"/>
      <c r="P194" s="33" t="n"/>
    </row>
    <row r="195" ht="52.5" customHeight="1" s="20">
      <c r="A195" s="33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3" t="n"/>
      <c r="N195" s="33" t="n"/>
      <c r="O195" s="33" t="n"/>
      <c r="P195" s="33" t="n"/>
    </row>
    <row r="196" ht="52.5" customHeight="1" s="20">
      <c r="A196" s="33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3" t="n"/>
      <c r="N196" s="33" t="n"/>
      <c r="O196" s="33" t="n"/>
      <c r="P196" s="33" t="n"/>
    </row>
    <row r="197" ht="87.5" customHeight="1" s="20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3" t="n"/>
      <c r="N197" s="33" t="n"/>
      <c r="O197" s="33" t="n"/>
      <c r="P197" s="33" t="n"/>
    </row>
    <row r="198" ht="70" customHeight="1" s="20">
      <c r="A198" s="33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3" t="n"/>
      <c r="N198" s="33" t="n"/>
      <c r="O198" s="33" t="n"/>
      <c r="P198" s="33" t="n"/>
    </row>
    <row r="199" ht="52.5" customHeight="1" s="20">
      <c r="A199" s="33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3" t="n"/>
      <c r="N199" s="33" t="n"/>
      <c r="O199" s="33" t="n"/>
      <c r="P199" s="33" t="n"/>
    </row>
    <row r="200" ht="52.5" customHeight="1" s="20">
      <c r="A200" s="33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3" t="n"/>
      <c r="P200" s="33" t="n"/>
    </row>
    <row r="201" ht="52.5" customHeight="1" s="20">
      <c r="A201" s="33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3" t="n"/>
      <c r="N201" s="33" t="n"/>
      <c r="O201" s="33" t="n"/>
      <c r="P201" s="33" t="n"/>
    </row>
    <row r="202" ht="52.5" customHeight="1" s="20">
      <c r="A202" s="33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</row>
    <row r="203" ht="52.5" customHeight="1" s="20">
      <c r="A203" s="33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3" t="n"/>
      <c r="N203" s="33" t="n"/>
      <c r="O203" s="33" t="n"/>
      <c r="P203" s="33" t="n"/>
    </row>
    <row r="204" ht="52.5" customHeight="1" s="20">
      <c r="A204" s="33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  <c r="M204" s="33" t="n"/>
      <c r="N204" s="33" t="n"/>
      <c r="O204" s="33" t="n"/>
      <c r="P204" s="33" t="n"/>
    </row>
    <row r="205" ht="35" customHeight="1" s="20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3" t="n"/>
      <c r="P205" s="33" t="n"/>
    </row>
    <row r="206" ht="70" customHeight="1" s="20">
      <c r="A206" s="33" t="n"/>
      <c r="B206" s="33" t="n"/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3" t="n"/>
      <c r="M206" s="33" t="n"/>
      <c r="N206" s="33" t="n"/>
      <c r="O206" s="33" t="n"/>
      <c r="P206" s="33" t="n"/>
    </row>
    <row r="207" ht="52.5" customHeight="1" s="20">
      <c r="A207" s="33" t="n"/>
      <c r="B207" s="33" t="n"/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33" t="n"/>
      <c r="L207" s="33" t="n"/>
      <c r="M207" s="33" t="n"/>
      <c r="N207" s="33" t="n"/>
      <c r="O207" s="33" t="n"/>
      <c r="P207" s="33" t="n"/>
    </row>
    <row r="208" ht="35" customHeight="1" s="20">
      <c r="A208" s="33" t="n"/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</row>
    <row r="209" ht="70" customHeight="1" s="20">
      <c r="A209" s="33" t="n"/>
      <c r="B209" s="33" t="n"/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  <c r="L209" s="33" t="n"/>
      <c r="M209" s="33" t="n"/>
      <c r="N209" s="33" t="n"/>
      <c r="O209" s="33" t="n"/>
      <c r="P209" s="33" t="n"/>
    </row>
    <row r="210" ht="35" customHeight="1" s="20">
      <c r="A210" s="33" t="n"/>
      <c r="B210" s="33" t="n"/>
      <c r="C210" s="33" t="n"/>
      <c r="D210" s="33" t="n"/>
      <c r="E210" s="33" t="n"/>
      <c r="F210" s="33" t="n"/>
      <c r="G210" s="33" t="n"/>
      <c r="H210" s="33" t="n"/>
      <c r="I210" s="33" t="n"/>
      <c r="J210" s="33" t="n"/>
      <c r="K210" s="33" t="n"/>
      <c r="L210" s="33" t="n"/>
      <c r="M210" s="33" t="n"/>
      <c r="N210" s="33" t="n"/>
      <c r="O210" s="33" t="n"/>
      <c r="P210" s="3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F543"/>
  <sheetViews>
    <sheetView showGridLines="0" workbookViewId="0">
      <pane xSplit="4" ySplit="4" topLeftCell="E12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2" customWidth="1" style="20" min="1" max="2"/>
    <col width="32" customWidth="1" style="20" min="3" max="3"/>
    <col width="30" customWidth="1" style="20" min="4" max="4"/>
    <col width="100" customWidth="1" style="20" min="5" max="5"/>
    <col width="40" customWidth="1" style="20" min="6" max="6"/>
  </cols>
  <sheetData>
    <row r="1" ht="20" customHeight="1" s="20">
      <c r="A1" s="1" t="inlineStr">
        <is>
          <t>Handler, Service, Client &amp; Scheduler Methods</t>
        </is>
      </c>
    </row>
    <row r="2">
      <c r="A2" s="2" t="inlineStr">
        <is>
          <t>Extracted from public method signatures in each class of the current code.</t>
        </is>
      </c>
    </row>
    <row r="4">
      <c r="A4" s="8" t="inlineStr">
        <is>
          <t>Service</t>
        </is>
      </c>
      <c r="B4" s="8" t="inlineStr">
        <is>
          <t>Layer</t>
        </is>
      </c>
      <c r="C4" s="8" t="inlineStr">
        <is>
          <t>Class</t>
        </is>
      </c>
      <c r="D4" s="8" t="inlineStr">
        <is>
          <t>Method</t>
        </is>
      </c>
      <c r="E4" s="8" t="inlineStr">
        <is>
          <t>Signature (return type + parameters)</t>
        </is>
      </c>
      <c r="F4" s="8" t="inlineStr">
        <is>
          <t>@Scheduled</t>
        </is>
      </c>
    </row>
    <row r="5">
      <c r="A5" s="23" t="inlineStr">
        <is>
          <t>Auth Service</t>
        </is>
      </c>
      <c r="B5" s="23" t="inlineStr">
        <is>
          <t>Handler (HTTP)</t>
        </is>
      </c>
      <c r="C5" s="23" t="inlineStr">
        <is>
          <t>AuthHandler</t>
        </is>
      </c>
      <c r="D5" s="23" t="inlineStr">
        <is>
          <t>register</t>
        </is>
      </c>
      <c r="E5" s="23" t="inlineStr">
        <is>
          <t>Mono&lt;ServerResponse&gt; register(ServerRequest request)</t>
        </is>
      </c>
      <c r="F5" s="23" t="inlineStr">
        <is>
          <t>-</t>
        </is>
      </c>
    </row>
    <row r="6">
      <c r="A6" s="23" t="inlineStr">
        <is>
          <t>Auth Service</t>
        </is>
      </c>
      <c r="B6" s="23" t="inlineStr">
        <is>
          <t>Handler (HTTP)</t>
        </is>
      </c>
      <c r="C6" s="23" t="inlineStr">
        <is>
          <t>AuthHandler</t>
        </is>
      </c>
      <c r="D6" s="23" t="inlineStr">
        <is>
          <t>login</t>
        </is>
      </c>
      <c r="E6" s="23" t="inlineStr">
        <is>
          <t>Mono&lt;ServerResponse&gt; login(ServerRequest request)</t>
        </is>
      </c>
      <c r="F6" s="23" t="inlineStr">
        <is>
          <t>-</t>
        </is>
      </c>
    </row>
    <row r="7">
      <c r="A7" s="23" t="inlineStr">
        <is>
          <t>Auth Service</t>
        </is>
      </c>
      <c r="B7" s="23" t="inlineStr">
        <is>
          <t>Handler (HTTP)</t>
        </is>
      </c>
      <c r="C7" s="23" t="inlineStr">
        <is>
          <t>AuthHandler</t>
        </is>
      </c>
      <c r="D7" s="23" t="inlineStr">
        <is>
          <t>refresh</t>
        </is>
      </c>
      <c r="E7" s="23" t="inlineStr">
        <is>
          <t>Mono&lt;ServerResponse&gt; refresh(ServerRequest request)</t>
        </is>
      </c>
      <c r="F7" s="23" t="inlineStr">
        <is>
          <t>-</t>
        </is>
      </c>
    </row>
    <row r="8">
      <c r="A8" s="23" t="inlineStr">
        <is>
          <t>Auth Service</t>
        </is>
      </c>
      <c r="B8" s="23" t="inlineStr">
        <is>
          <t>Handler (HTTP)</t>
        </is>
      </c>
      <c r="C8" s="23" t="inlineStr">
        <is>
          <t>AuthHandler</t>
        </is>
      </c>
      <c r="D8" s="23" t="inlineStr">
        <is>
          <t>logout</t>
        </is>
      </c>
      <c r="E8" s="23" t="inlineStr">
        <is>
          <t>Mono&lt;ServerResponse&gt; logout(ServerRequest request)</t>
        </is>
      </c>
      <c r="F8" s="23" t="inlineStr">
        <is>
          <t>-</t>
        </is>
      </c>
    </row>
    <row r="9">
      <c r="A9" s="23" t="inlineStr">
        <is>
          <t>Auth Service</t>
        </is>
      </c>
      <c r="B9" s="23" t="inlineStr">
        <is>
          <t>Handler (HTTP)</t>
        </is>
      </c>
      <c r="C9" s="23" t="inlineStr">
        <is>
          <t>AuthHandler</t>
        </is>
      </c>
      <c r="D9" s="23" t="inlineStr">
        <is>
          <t>me</t>
        </is>
      </c>
      <c r="E9" s="23" t="inlineStr">
        <is>
          <t>Mono&lt;ServerResponse&gt; me(ServerRequest request)</t>
        </is>
      </c>
      <c r="F9" s="23" t="inlineStr">
        <is>
          <t>-</t>
        </is>
      </c>
    </row>
    <row r="10">
      <c r="A10" s="23" t="inlineStr">
        <is>
          <t>Auth Service</t>
        </is>
      </c>
      <c r="B10" s="23" t="inlineStr">
        <is>
          <t>Handler (HTTP)</t>
        </is>
      </c>
      <c r="C10" s="23" t="inlineStr">
        <is>
          <t>UserHandler</t>
        </is>
      </c>
      <c r="D10" s="23" t="inlineStr">
        <is>
          <t>saveMyProfile</t>
        </is>
      </c>
      <c r="E10" s="23" t="inlineStr">
        <is>
          <t>Mono&lt;ServerResponse&gt; saveMyProfile(ServerRequest request)</t>
        </is>
      </c>
      <c r="F10" s="23" t="inlineStr">
        <is>
          <t>-</t>
        </is>
      </c>
    </row>
    <row r="11">
      <c r="A11" s="23" t="inlineStr">
        <is>
          <t>Auth Service</t>
        </is>
      </c>
      <c r="B11" s="23" t="inlineStr">
        <is>
          <t>Handler (HTTP)</t>
        </is>
      </c>
      <c r="C11" s="23" t="inlineStr">
        <is>
          <t>UserHandler</t>
        </is>
      </c>
      <c r="D11" s="23" t="inlineStr">
        <is>
          <t>getMyProfile</t>
        </is>
      </c>
      <c r="E11" s="23" t="inlineStr">
        <is>
          <t>Mono&lt;ServerResponse&gt; getMyProfile(ServerRequest request)</t>
        </is>
      </c>
      <c r="F11" s="23" t="inlineStr">
        <is>
          <t>-</t>
        </is>
      </c>
    </row>
    <row r="12">
      <c r="A12" s="23" t="inlineStr">
        <is>
          <t>Auth Service</t>
        </is>
      </c>
      <c r="B12" s="23" t="inlineStr">
        <is>
          <t>Handler (HTTP)</t>
        </is>
      </c>
      <c r="C12" s="23" t="inlineStr">
        <is>
          <t>UserHandler</t>
        </is>
      </c>
      <c r="D12" s="23" t="inlineStr">
        <is>
          <t>getAllUsers</t>
        </is>
      </c>
      <c r="E12" s="23" t="inlineStr">
        <is>
          <t>Mono&lt;ServerResponse&gt; getAllUsers(ServerRequest request)</t>
        </is>
      </c>
      <c r="F12" s="23" t="inlineStr">
        <is>
          <t>-</t>
        </is>
      </c>
    </row>
    <row r="13">
      <c r="A13" s="23" t="inlineStr">
        <is>
          <t>Auth Service</t>
        </is>
      </c>
      <c r="B13" s="23" t="inlineStr">
        <is>
          <t>Handler (HTTP)</t>
        </is>
      </c>
      <c r="C13" s="23" t="inlineStr">
        <is>
          <t>UserHandler</t>
        </is>
      </c>
      <c r="D13" s="23" t="inlineStr">
        <is>
          <t>getUser</t>
        </is>
      </c>
      <c r="E13" s="23" t="inlineStr">
        <is>
          <t>Mono&lt;ServerResponse&gt; getUser(ServerRequest request)</t>
        </is>
      </c>
      <c r="F13" s="23" t="inlineStr">
        <is>
          <t>-</t>
        </is>
      </c>
    </row>
    <row r="14">
      <c r="A14" s="23" t="inlineStr">
        <is>
          <t>Auth Service</t>
        </is>
      </c>
      <c r="B14" s="23" t="inlineStr">
        <is>
          <t>Handler (HTTP)</t>
        </is>
      </c>
      <c r="C14" s="23" t="inlineStr">
        <is>
          <t>UserHandler</t>
        </is>
      </c>
      <c r="D14" s="23" t="inlineStr">
        <is>
          <t>updateStatus</t>
        </is>
      </c>
      <c r="E14" s="23" t="inlineStr">
        <is>
          <t>Mono&lt;ServerResponse&gt; updateStatus(ServerRequest request)</t>
        </is>
      </c>
      <c r="F14" s="23" t="inlineStr">
        <is>
          <t>-</t>
        </is>
      </c>
    </row>
    <row r="15">
      <c r="A15" s="23" t="inlineStr">
        <is>
          <t>Auth Service</t>
        </is>
      </c>
      <c r="B15" s="23" t="inlineStr">
        <is>
          <t>Service (business)</t>
        </is>
      </c>
      <c r="C15" s="23" t="inlineStr">
        <is>
          <t>AuthService</t>
        </is>
      </c>
      <c r="D15" s="23" t="inlineStr">
        <is>
          <t>register</t>
        </is>
      </c>
      <c r="E15" s="23" t="inlineStr">
        <is>
          <t>Mono&lt;AuthResponse&gt; register(RegisterRequest request,String deviceName,String ipAddress)</t>
        </is>
      </c>
      <c r="F15" s="23" t="inlineStr">
        <is>
          <t>-</t>
        </is>
      </c>
    </row>
    <row r="16">
      <c r="A16" s="23" t="inlineStr">
        <is>
          <t>Auth Service</t>
        </is>
      </c>
      <c r="B16" s="23" t="inlineStr">
        <is>
          <t>Service (business)</t>
        </is>
      </c>
      <c r="C16" s="23" t="inlineStr">
        <is>
          <t>AuthService</t>
        </is>
      </c>
      <c r="D16" s="23" t="inlineStr">
        <is>
          <t>login</t>
        </is>
      </c>
      <c r="E16" s="23" t="inlineStr">
        <is>
          <t>Mono&lt;AuthResponse&gt; login(LoginRequest request,String deviceName, String ipAddress)</t>
        </is>
      </c>
      <c r="F16" s="23" t="inlineStr">
        <is>
          <t>-</t>
        </is>
      </c>
    </row>
    <row r="17">
      <c r="A17" s="23" t="inlineStr">
        <is>
          <t>Auth Service</t>
        </is>
      </c>
      <c r="B17" s="23" t="inlineStr">
        <is>
          <t>Service (business)</t>
        </is>
      </c>
      <c r="C17" s="23" t="inlineStr">
        <is>
          <t>AuthService</t>
        </is>
      </c>
      <c r="D17" s="23" t="inlineStr">
        <is>
          <t>refresh</t>
        </is>
      </c>
      <c r="E17" s="23" t="inlineStr">
        <is>
          <t>Mono&lt;AuthResponse&gt; refresh(RefreshTokenRequest request, String deviceName,String ipAddress)</t>
        </is>
      </c>
      <c r="F17" s="23" t="inlineStr">
        <is>
          <t>-</t>
        </is>
      </c>
    </row>
    <row r="18">
      <c r="A18" s="23" t="inlineStr">
        <is>
          <t>Auth Service</t>
        </is>
      </c>
      <c r="B18" s="23" t="inlineStr">
        <is>
          <t>Service (business)</t>
        </is>
      </c>
      <c r="C18" s="23" t="inlineStr">
        <is>
          <t>AuthService</t>
        </is>
      </c>
      <c r="D18" s="23" t="inlineStr">
        <is>
          <t>logout</t>
        </is>
      </c>
      <c r="E18" s="23" t="inlineStr">
        <is>
          <t>Mono&lt;MessageResponse&gt; logout(Long userId,RefreshTokenRequest request)</t>
        </is>
      </c>
      <c r="F18" s="23" t="inlineStr">
        <is>
          <t>-</t>
        </is>
      </c>
    </row>
    <row r="19">
      <c r="A19" s="23" t="inlineStr">
        <is>
          <t>Auth Service</t>
        </is>
      </c>
      <c r="B19" s="23" t="inlineStr">
        <is>
          <t>Service (business)</t>
        </is>
      </c>
      <c r="C19" s="23" t="inlineStr">
        <is>
          <t>AuthService</t>
        </is>
      </c>
      <c r="D19" s="23" t="inlineStr">
        <is>
          <t>getCurrentUser</t>
        </is>
      </c>
      <c r="E19" s="23" t="inlineStr">
        <is>
          <t>Mono&lt;UserResponse&gt; getCurrentUser(Long userId)</t>
        </is>
      </c>
      <c r="F19" s="23" t="inlineStr">
        <is>
          <t>-</t>
        </is>
      </c>
    </row>
    <row r="20">
      <c r="A20" s="23" t="inlineStr">
        <is>
          <t>Auth Service</t>
        </is>
      </c>
      <c r="B20" s="23" t="inlineStr">
        <is>
          <t>Service (business)</t>
        </is>
      </c>
      <c r="C20" s="23" t="inlineStr">
        <is>
          <t>UserProfileService</t>
        </is>
      </c>
      <c r="D20" s="23" t="inlineStr">
        <is>
          <t>saveProfile</t>
        </is>
      </c>
      <c r="E20" s="23" t="inlineStr">
        <is>
          <t>Mono&lt;UserResponse&gt; saveProfile(Long authUserId,UpdateProfileRequest request)</t>
        </is>
      </c>
      <c r="F20" s="23" t="inlineStr">
        <is>
          <t>-</t>
        </is>
      </c>
    </row>
    <row r="21">
      <c r="A21" s="23" t="inlineStr">
        <is>
          <t>Auth Service</t>
        </is>
      </c>
      <c r="B21" s="23" t="inlineStr">
        <is>
          <t>Service (business)</t>
        </is>
      </c>
      <c r="C21" s="23" t="inlineStr">
        <is>
          <t>UserProfileService</t>
        </is>
      </c>
      <c r="D21" s="23" t="inlineStr">
        <is>
          <t>getMyProfile</t>
        </is>
      </c>
      <c r="E21" s="23" t="inlineStr">
        <is>
          <t>Mono&lt;UserResponse&gt; getMyProfile(Long authUserId)</t>
        </is>
      </c>
      <c r="F21" s="23" t="inlineStr">
        <is>
          <t>-</t>
        </is>
      </c>
    </row>
    <row r="22">
      <c r="A22" s="23" t="inlineStr">
        <is>
          <t>Auth Service</t>
        </is>
      </c>
      <c r="B22" s="23" t="inlineStr">
        <is>
          <t>Service (business)</t>
        </is>
      </c>
      <c r="C22" s="23" t="inlineStr">
        <is>
          <t>UserProfileService</t>
        </is>
      </c>
      <c r="D22" s="23" t="inlineStr">
        <is>
          <t>getAllUsers</t>
        </is>
      </c>
      <c r="E22" s="23" t="inlineStr">
        <is>
          <t>Flux&lt;UserResponse&gt; getAllUsers(String status,String segment)</t>
        </is>
      </c>
      <c r="F22" s="23" t="inlineStr">
        <is>
          <t>-</t>
        </is>
      </c>
    </row>
    <row r="23">
      <c r="A23" s="23" t="inlineStr">
        <is>
          <t>Auth Service</t>
        </is>
      </c>
      <c r="B23" s="23" t="inlineStr">
        <is>
          <t>Service (business)</t>
        </is>
      </c>
      <c r="C23" s="23" t="inlineStr">
        <is>
          <t>UserProfileService</t>
        </is>
      </c>
      <c r="D23" s="23" t="inlineStr">
        <is>
          <t>getUser</t>
        </is>
      </c>
      <c r="E23" s="23" t="inlineStr">
        <is>
          <t>Mono&lt;UserResponse&gt; getUser(Long authUserId)</t>
        </is>
      </c>
      <c r="F23" s="23" t="inlineStr">
        <is>
          <t>-</t>
        </is>
      </c>
    </row>
    <row r="24">
      <c r="A24" s="23" t="inlineStr">
        <is>
          <t>Auth Service</t>
        </is>
      </c>
      <c r="B24" s="23" t="inlineStr">
        <is>
          <t>Service (business)</t>
        </is>
      </c>
      <c r="C24" s="23" t="inlineStr">
        <is>
          <t>UserProfileService</t>
        </is>
      </c>
      <c r="D24" s="23" t="inlineStr">
        <is>
          <t>updateStatus</t>
        </is>
      </c>
      <c r="E24" s="23" t="inlineStr">
        <is>
          <t>Mono&lt;UserResponse&gt; updateStatus(Long authUserId, UpdateUserStatusRequest request)</t>
        </is>
      </c>
      <c r="F24" s="23" t="inlineStr">
        <is>
          <t>-</t>
        </is>
      </c>
    </row>
    <row r="25">
      <c r="A25" s="23" t="inlineStr">
        <is>
          <t>Auth Service</t>
        </is>
      </c>
      <c r="B25" s="23" t="inlineStr">
        <is>
          <t>Config / Loader / Scheduler</t>
        </is>
      </c>
      <c r="C25" s="23" t="inlineStr">
        <is>
          <t>StaffDataLoader</t>
        </is>
      </c>
      <c r="D25" s="23" t="inlineStr">
        <is>
          <t>run</t>
        </is>
      </c>
      <c r="E25" s="23" t="inlineStr">
        <is>
          <t>void run(ApplicationArguments args)</t>
        </is>
      </c>
      <c r="F25" s="23" t="inlineStr">
        <is>
          <t>-</t>
        </is>
      </c>
    </row>
    <row r="26">
      <c r="A26" s="23" t="inlineStr">
        <is>
          <t>Product &amp; Policy Service</t>
        </is>
      </c>
      <c r="B26" s="23" t="inlineStr">
        <is>
          <t>Handler (HTTP)</t>
        </is>
      </c>
      <c r="C26" s="23" t="inlineStr">
        <is>
          <t>InternalPolicyHandler</t>
        </is>
      </c>
      <c r="D26" s="23" t="inlineStr">
        <is>
          <t>getEligiblePolicies</t>
        </is>
      </c>
      <c r="E26" s="23" t="inlineStr">
        <is>
          <t>Mono&lt;ServerResponse&gt; getEligiblePolicies(ServerRequest request)</t>
        </is>
      </c>
      <c r="F26" s="23" t="inlineStr">
        <is>
          <t>-</t>
        </is>
      </c>
    </row>
    <row r="27">
      <c r="A27" s="23" t="inlineStr">
        <is>
          <t>Product &amp; Policy Service</t>
        </is>
      </c>
      <c r="B27" s="23" t="inlineStr">
        <is>
          <t>Handler (HTTP)</t>
        </is>
      </c>
      <c r="C27" s="23" t="inlineStr">
        <is>
          <t>InternalPolicyHandler</t>
        </is>
      </c>
      <c r="D27" s="23" t="inlineStr">
        <is>
          <t>hasActivePoliciesForZone</t>
        </is>
      </c>
      <c r="E27" s="23" t="inlineStr">
        <is>
          <t>Mono&lt;ServerResponse&gt; hasActivePoliciesForZone(ServerRequest request)</t>
        </is>
      </c>
      <c r="F27" s="23" t="inlineStr">
        <is>
          <t>-</t>
        </is>
      </c>
    </row>
    <row r="28">
      <c r="A28" s="23" t="inlineStr">
        <is>
          <t>Product &amp; Policy Service</t>
        </is>
      </c>
      <c r="B28" s="23" t="inlineStr">
        <is>
          <t>Handler (HTTP)</t>
        </is>
      </c>
      <c r="C28" s="23" t="inlineStr">
        <is>
          <t>PolicyHandler</t>
        </is>
      </c>
      <c r="D28" s="23" t="inlineStr">
        <is>
          <t>createPolicy</t>
        </is>
      </c>
      <c r="E28" s="23" t="inlineStr">
        <is>
          <t>Mono&lt;ServerResponse&gt; createPolicy(ServerRequest request)</t>
        </is>
      </c>
      <c r="F28" s="23" t="inlineStr">
        <is>
          <t>-</t>
        </is>
      </c>
    </row>
    <row r="29">
      <c r="A29" s="23" t="inlineStr">
        <is>
          <t>Product &amp; Policy Service</t>
        </is>
      </c>
      <c r="B29" s="23" t="inlineStr">
        <is>
          <t>Handler (HTTP)</t>
        </is>
      </c>
      <c r="C29" s="23" t="inlineStr">
        <is>
          <t>PolicyHandler</t>
        </is>
      </c>
      <c r="D29" s="23" t="inlineStr">
        <is>
          <t>createCustomPolicy</t>
        </is>
      </c>
      <c r="E29" s="23" t="inlineStr">
        <is>
          <t>Mono&lt;ServerResponse&gt; createCustomPolicy(ServerRequest request)</t>
        </is>
      </c>
      <c r="F29" s="23" t="inlineStr">
        <is>
          <t>-</t>
        </is>
      </c>
    </row>
    <row r="30">
      <c r="A30" s="23" t="inlineStr">
        <is>
          <t>Product &amp; Policy Service</t>
        </is>
      </c>
      <c r="B30" s="23" t="inlineStr">
        <is>
          <t>Handler (HTTP)</t>
        </is>
      </c>
      <c r="C30" s="23" t="inlineStr">
        <is>
          <t>PolicyHandler</t>
        </is>
      </c>
      <c r="D30" s="23" t="inlineStr">
        <is>
          <t>getActiveZones</t>
        </is>
      </c>
      <c r="E30" s="23" t="inlineStr">
        <is>
          <t>Mono&lt;ServerResponse&gt; getActiveZones(ServerRequest request)</t>
        </is>
      </c>
      <c r="F30" s="23" t="inlineStr">
        <is>
          <t>-</t>
        </is>
      </c>
    </row>
    <row r="31">
      <c r="A31" s="23" t="inlineStr">
        <is>
          <t>Product &amp; Policy Service</t>
        </is>
      </c>
      <c r="B31" s="23" t="inlineStr">
        <is>
          <t>Handler (HTTP)</t>
        </is>
      </c>
      <c r="C31" s="23" t="inlineStr">
        <is>
          <t>PolicyHandler</t>
        </is>
      </c>
      <c r="D31" s="23" t="inlineStr">
        <is>
          <t>getZoneExposure</t>
        </is>
      </c>
      <c r="E31" s="23" t="inlineStr">
        <is>
          <t>Mono&lt;ServerResponse&gt; getZoneExposure(ServerRequest request)</t>
        </is>
      </c>
      <c r="F31" s="23" t="inlineStr">
        <is>
          <t>-</t>
        </is>
      </c>
    </row>
    <row r="32">
      <c r="A32" s="23" t="inlineStr">
        <is>
          <t>Product &amp; Policy Service</t>
        </is>
      </c>
      <c r="B32" s="23" t="inlineStr">
        <is>
          <t>Handler (HTTP)</t>
        </is>
      </c>
      <c r="C32" s="23" t="inlineStr">
        <is>
          <t>PolicyHandler</t>
        </is>
      </c>
      <c r="D32" s="23" t="inlineStr">
        <is>
          <t>getMyPolicies</t>
        </is>
      </c>
      <c r="E32" s="23" t="inlineStr">
        <is>
          <t>Mono&lt;ServerResponse&gt; getMyPolicies(ServerRequest request)</t>
        </is>
      </c>
      <c r="F32" s="23" t="inlineStr">
        <is>
          <t>-</t>
        </is>
      </c>
    </row>
    <row r="33" ht="25" customHeight="1" s="20">
      <c r="A33" s="23" t="inlineStr">
        <is>
          <t>Product &amp; Policy Service</t>
        </is>
      </c>
      <c r="B33" s="23" t="inlineStr">
        <is>
          <t>Handler (HTTP)</t>
        </is>
      </c>
      <c r="C33" s="23" t="inlineStr">
        <is>
          <t>PolicyHandler</t>
        </is>
      </c>
      <c r="D33" s="23" t="inlineStr">
        <is>
          <t>getMyPolicy</t>
        </is>
      </c>
      <c r="E33" s="23" t="inlineStr">
        <is>
          <t>Mono&lt;ServerResponse&gt; getMyPolicy(ServerRequest request)</t>
        </is>
      </c>
      <c r="F33" s="23" t="inlineStr">
        <is>
          <t>-</t>
        </is>
      </c>
    </row>
    <row r="34">
      <c r="A34" s="23" t="inlineStr">
        <is>
          <t>Product &amp; Policy Service</t>
        </is>
      </c>
      <c r="B34" s="23" t="inlineStr">
        <is>
          <t>Handler (HTTP)</t>
        </is>
      </c>
      <c r="C34" s="23" t="inlineStr">
        <is>
          <t>PolicyHandler</t>
        </is>
      </c>
      <c r="D34" s="23" t="inlineStr">
        <is>
          <t>cancelPolicy</t>
        </is>
      </c>
      <c r="E34" s="23" t="inlineStr">
        <is>
          <t>Mono&lt;ServerResponse&gt; cancelPolicy(ServerRequest request)</t>
        </is>
      </c>
      <c r="F34" s="23" t="inlineStr">
        <is>
          <t>-</t>
        </is>
      </c>
    </row>
    <row r="35">
      <c r="A35" s="23" t="inlineStr">
        <is>
          <t>Product &amp; Policy Service</t>
        </is>
      </c>
      <c r="B35" s="23" t="inlineStr">
        <is>
          <t>Handler (HTTP)</t>
        </is>
      </c>
      <c r="C35" s="23" t="inlineStr">
        <is>
          <t>PolicyHandler</t>
        </is>
      </c>
      <c r="D35" s="23" t="inlineStr">
        <is>
          <t>getReviewHistory</t>
        </is>
      </c>
      <c r="E35" s="23" t="inlineStr">
        <is>
          <t>Mono&lt;ServerResponse&gt; getReviewHistory(ServerRequest request)</t>
        </is>
      </c>
      <c r="F35" s="23" t="inlineStr">
        <is>
          <t>-</t>
        </is>
      </c>
    </row>
    <row r="36">
      <c r="A36" s="23" t="inlineStr">
        <is>
          <t>Product &amp; Policy Service</t>
        </is>
      </c>
      <c r="B36" s="23" t="inlineStr">
        <is>
          <t>Handler (HTTP)</t>
        </is>
      </c>
      <c r="C36" s="23" t="inlineStr">
        <is>
          <t>PolicyHandler</t>
        </is>
      </c>
      <c r="D36" s="23" t="inlineStr">
        <is>
          <t>getPendingPolicies</t>
        </is>
      </c>
      <c r="E36" s="23" t="inlineStr">
        <is>
          <t>Mono&lt;ServerResponse&gt; getPendingPolicies(ServerRequest request)</t>
        </is>
      </c>
      <c r="F36" s="23" t="inlineStr">
        <is>
          <t>-</t>
        </is>
      </c>
    </row>
    <row r="37">
      <c r="A37" s="23" t="inlineStr">
        <is>
          <t>Product &amp; Policy Service</t>
        </is>
      </c>
      <c r="B37" s="23" t="inlineStr">
        <is>
          <t>Handler (HTTP)</t>
        </is>
      </c>
      <c r="C37" s="23" t="inlineStr">
        <is>
          <t>PolicyHandler</t>
        </is>
      </c>
      <c r="D37" s="23" t="inlineStr">
        <is>
          <t>getAllPolicies</t>
        </is>
      </c>
      <c r="E37" s="23" t="inlineStr">
        <is>
          <t>Mono&lt;ServerResponse&gt; getAllPolicies(ServerRequest request)</t>
        </is>
      </c>
      <c r="F37" s="23" t="inlineStr">
        <is>
          <t>-</t>
        </is>
      </c>
    </row>
    <row r="38">
      <c r="A38" s="23" t="inlineStr">
        <is>
          <t>Product &amp; Policy Service</t>
        </is>
      </c>
      <c r="B38" s="23" t="inlineStr">
        <is>
          <t>Handler (HTTP)</t>
        </is>
      </c>
      <c r="C38" s="23" t="inlineStr">
        <is>
          <t>PolicyHandler</t>
        </is>
      </c>
      <c r="D38" s="23" t="inlineStr">
        <is>
          <t>getPolicy</t>
        </is>
      </c>
      <c r="E38" s="23" t="inlineStr">
        <is>
          <t>Mono&lt;ServerResponse&gt; getPolicy(ServerRequest request)</t>
        </is>
      </c>
      <c r="F38" s="23" t="inlineStr">
        <is>
          <t>-</t>
        </is>
      </c>
    </row>
    <row r="39">
      <c r="A39" s="23" t="inlineStr">
        <is>
          <t>Product &amp; Policy Service</t>
        </is>
      </c>
      <c r="B39" s="23" t="inlineStr">
        <is>
          <t>Handler (HTTP)</t>
        </is>
      </c>
      <c r="C39" s="23" t="inlineStr">
        <is>
          <t>PolicyHandler</t>
        </is>
      </c>
      <c r="D39" s="23" t="inlineStr">
        <is>
          <t>approvePolicy</t>
        </is>
      </c>
      <c r="E39" s="23" t="inlineStr">
        <is>
          <t>Mono&lt;ServerResponse&gt; approvePolicy(ServerRequest request)</t>
        </is>
      </c>
      <c r="F39" s="23" t="inlineStr">
        <is>
          <t>-</t>
        </is>
      </c>
    </row>
    <row r="40">
      <c r="A40" s="23" t="inlineStr">
        <is>
          <t>Product &amp; Policy Service</t>
        </is>
      </c>
      <c r="B40" s="23" t="inlineStr">
        <is>
          <t>Handler (HTTP)</t>
        </is>
      </c>
      <c r="C40" s="23" t="inlineStr">
        <is>
          <t>PolicyHandler</t>
        </is>
      </c>
      <c r="D40" s="23" t="inlineStr">
        <is>
          <t>rejectPolicy</t>
        </is>
      </c>
      <c r="E40" s="23" t="inlineStr">
        <is>
          <t>Mono&lt;ServerResponse&gt; rejectPolicy(ServerRequest request)</t>
        </is>
      </c>
      <c r="F40" s="23" t="inlineStr">
        <is>
          <t>-</t>
        </is>
      </c>
    </row>
    <row r="41">
      <c r="A41" s="23" t="inlineStr">
        <is>
          <t>Product &amp; Policy Service</t>
        </is>
      </c>
      <c r="B41" s="23" t="inlineStr">
        <is>
          <t>Handler (HTTP)</t>
        </is>
      </c>
      <c r="C41" s="23" t="inlineStr">
        <is>
          <t>PolicyHandler</t>
        </is>
      </c>
      <c r="D41" s="23" t="inlineStr">
        <is>
          <t>getInternalPolicy</t>
        </is>
      </c>
      <c r="E41" s="23" t="inlineStr">
        <is>
          <t>Mono&lt;ServerResponse&gt; getInternalPolicy(ServerRequest request)</t>
        </is>
      </c>
      <c r="F41" s="23" t="inlineStr">
        <is>
          <t>-</t>
        </is>
      </c>
    </row>
    <row r="42" ht="25" customHeight="1" s="20">
      <c r="A42" s="23" t="inlineStr">
        <is>
          <t>Product &amp; Policy Service</t>
        </is>
      </c>
      <c r="B42" s="23" t="inlineStr">
        <is>
          <t>Handler (HTTP)</t>
        </is>
      </c>
      <c r="C42" s="23" t="inlineStr">
        <is>
          <t>PolicyHandler</t>
        </is>
      </c>
      <c r="D42" s="23" t="inlineStr">
        <is>
          <t>getPolicyHistory</t>
        </is>
      </c>
      <c r="E42" s="23" t="inlineStr">
        <is>
          <t>Mono&lt;ServerResponse&gt; getPolicyHistory(ServerRequest request)</t>
        </is>
      </c>
      <c r="F42" s="23" t="inlineStr">
        <is>
          <t>-</t>
        </is>
      </c>
    </row>
    <row r="43">
      <c r="A43" s="23" t="inlineStr">
        <is>
          <t>Product &amp; Policy Service</t>
        </is>
      </c>
      <c r="B43" s="23" t="inlineStr">
        <is>
          <t>Handler (HTTP)</t>
        </is>
      </c>
      <c r="C43" s="23" t="inlineStr">
        <is>
          <t>PolicyHandler</t>
        </is>
      </c>
      <c r="D43" s="23" t="inlineStr">
        <is>
          <t>getPolicySnapshot</t>
        </is>
      </c>
      <c r="E43" s="23" t="inlineStr">
        <is>
          <t>Mono&lt;ServerResponse&gt; getPolicySnapshot(ServerRequest request)</t>
        </is>
      </c>
      <c r="F43" s="23" t="inlineStr">
        <is>
          <t>-</t>
        </is>
      </c>
    </row>
    <row r="44">
      <c r="A44" s="23" t="inlineStr">
        <is>
          <t>Product &amp; Policy Service</t>
        </is>
      </c>
      <c r="B44" s="23" t="inlineStr">
        <is>
          <t>Handler (HTTP)</t>
        </is>
      </c>
      <c r="C44" s="23" t="inlineStr">
        <is>
          <t>PolicyLifecycleHandler</t>
        </is>
      </c>
      <c r="D44" s="23" t="inlineStr">
        <is>
          <t>renew</t>
        </is>
      </c>
      <c r="E44" s="23" t="inlineStr">
        <is>
          <t>Mono&lt;ServerResponse&gt; renew(ServerRequest request)</t>
        </is>
      </c>
      <c r="F44" s="23" t="inlineStr">
        <is>
          <t>-</t>
        </is>
      </c>
    </row>
    <row r="45">
      <c r="A45" s="23" t="inlineStr">
        <is>
          <t>Product &amp; Policy Service</t>
        </is>
      </c>
      <c r="B45" s="23" t="inlineStr">
        <is>
          <t>Handler (HTTP)</t>
        </is>
      </c>
      <c r="C45" s="23" t="inlineStr">
        <is>
          <t>PolicyLifecycleHandler</t>
        </is>
      </c>
      <c r="D45" s="23" t="inlineStr">
        <is>
          <t>autoRenew</t>
        </is>
      </c>
      <c r="E45" s="23" t="inlineStr">
        <is>
          <t>Mono&lt;ServerResponse&gt; autoRenew(ServerRequest request)</t>
        </is>
      </c>
      <c r="F45" s="23" t="inlineStr">
        <is>
          <t>-</t>
        </is>
      </c>
    </row>
    <row r="46">
      <c r="A46" s="23" t="inlineStr">
        <is>
          <t>Product &amp; Policy Service</t>
        </is>
      </c>
      <c r="B46" s="23" t="inlineStr">
        <is>
          <t>Handler (HTTP)</t>
        </is>
      </c>
      <c r="C46" s="23" t="inlineStr">
        <is>
          <t>PolicyLifecycleHandler</t>
        </is>
      </c>
      <c r="D46" s="23" t="inlineStr">
        <is>
          <t>customerCertificate</t>
        </is>
      </c>
      <c r="E46" s="23" t="inlineStr">
        <is>
          <t>Mono&lt;ServerResponse&gt; customerCertificate(ServerRequest request)</t>
        </is>
      </c>
      <c r="F46" s="23" t="inlineStr">
        <is>
          <t>-</t>
        </is>
      </c>
    </row>
    <row r="47">
      <c r="A47" s="23" t="inlineStr">
        <is>
          <t>Product &amp; Policy Service</t>
        </is>
      </c>
      <c r="B47" s="23" t="inlineStr">
        <is>
          <t>Handler (HTTP)</t>
        </is>
      </c>
      <c r="C47" s="23" t="inlineStr">
        <is>
          <t>PolicyLifecycleHandler</t>
        </is>
      </c>
      <c r="D47" s="23" t="inlineStr">
        <is>
          <t>staffCertificate</t>
        </is>
      </c>
      <c r="E47" s="23" t="inlineStr">
        <is>
          <t>Mono&lt;ServerResponse&gt; staffCertificate(ServerRequest request)</t>
        </is>
      </c>
      <c r="F47" s="23" t="inlineStr">
        <is>
          <t>-</t>
        </is>
      </c>
    </row>
    <row r="48">
      <c r="A48" s="23" t="inlineStr">
        <is>
          <t>Product &amp; Policy Service</t>
        </is>
      </c>
      <c r="B48" s="23" t="inlineStr">
        <is>
          <t>Handler (HTTP)</t>
        </is>
      </c>
      <c r="C48" s="23" t="inlineStr">
        <is>
          <t>ProductHandler</t>
        </is>
      </c>
      <c r="D48" s="23" t="inlineStr">
        <is>
          <t>createProduct</t>
        </is>
      </c>
      <c r="E48" s="23" t="inlineStr">
        <is>
          <t>Mono&lt;ServerResponse&gt; createProduct(ServerRequest request)</t>
        </is>
      </c>
      <c r="F48" s="23" t="inlineStr">
        <is>
          <t>-</t>
        </is>
      </c>
    </row>
    <row r="49">
      <c r="A49" s="23" t="inlineStr">
        <is>
          <t>Product &amp; Policy Service</t>
        </is>
      </c>
      <c r="B49" s="23" t="inlineStr">
        <is>
          <t>Handler (HTTP)</t>
        </is>
      </c>
      <c r="C49" s="23" t="inlineStr">
        <is>
          <t>ProductHandler</t>
        </is>
      </c>
      <c r="D49" s="23" t="inlineStr">
        <is>
          <t>updateProduct</t>
        </is>
      </c>
      <c r="E49" s="23" t="inlineStr">
        <is>
          <t>Mono&lt;ServerResponse&gt; updateProduct(ServerRequest request)</t>
        </is>
      </c>
      <c r="F49" s="23" t="inlineStr">
        <is>
          <t>-</t>
        </is>
      </c>
    </row>
    <row r="50">
      <c r="A50" s="23" t="inlineStr">
        <is>
          <t>Product &amp; Policy Service</t>
        </is>
      </c>
      <c r="B50" s="23" t="inlineStr">
        <is>
          <t>Handler (HTTP)</t>
        </is>
      </c>
      <c r="C50" s="23" t="inlineStr">
        <is>
          <t>ProductHandler</t>
        </is>
      </c>
      <c r="D50" s="23" t="inlineStr">
        <is>
          <t>getProducts</t>
        </is>
      </c>
      <c r="E50" s="23" t="inlineStr">
        <is>
          <t>Mono&lt;ServerResponse&gt; getProducts(ServerRequest request)</t>
        </is>
      </c>
      <c r="F50" s="23" t="inlineStr">
        <is>
          <t>-</t>
        </is>
      </c>
    </row>
    <row r="51">
      <c r="A51" s="23" t="inlineStr">
        <is>
          <t>Product &amp; Policy Service</t>
        </is>
      </c>
      <c r="B51" s="23" t="inlineStr">
        <is>
          <t>Handler (HTTP)</t>
        </is>
      </c>
      <c r="C51" s="23" t="inlineStr">
        <is>
          <t>ProductHandler</t>
        </is>
      </c>
      <c r="D51" s="23" t="inlineStr">
        <is>
          <t>getProduct</t>
        </is>
      </c>
      <c r="E51" s="23" t="inlineStr">
        <is>
          <t>Mono&lt;ServerResponse&gt; getProduct(ServerRequest request)</t>
        </is>
      </c>
      <c r="F51" s="23" t="inlineStr">
        <is>
          <t>-</t>
        </is>
      </c>
    </row>
    <row r="52">
      <c r="A52" s="23" t="inlineStr">
        <is>
          <t>Product &amp; Policy Service</t>
        </is>
      </c>
      <c r="B52" s="23" t="inlineStr">
        <is>
          <t>Handler (HTTP)</t>
        </is>
      </c>
      <c r="C52" s="23" t="inlineStr">
        <is>
          <t>ProductHandler</t>
        </is>
      </c>
      <c r="D52" s="23" t="inlineStr">
        <is>
          <t>getByCategory</t>
        </is>
      </c>
      <c r="E52" s="23" t="inlineStr">
        <is>
          <t>Mono&lt;ServerResponse&gt; getByCategory(ServerRequest request)</t>
        </is>
      </c>
      <c r="F52" s="23" t="inlineStr">
        <is>
          <t>-</t>
        </is>
      </c>
    </row>
    <row r="53">
      <c r="A53" s="23" t="inlineStr">
        <is>
          <t>Product &amp; Policy Service</t>
        </is>
      </c>
      <c r="B53" s="23" t="inlineStr">
        <is>
          <t>Handler (HTTP)</t>
        </is>
      </c>
      <c r="C53" s="23" t="inlineStr">
        <is>
          <t>ProductHandler</t>
        </is>
      </c>
      <c r="D53" s="23" t="inlineStr">
        <is>
          <t>getAllProducts</t>
        </is>
      </c>
      <c r="E53" s="23" t="inlineStr">
        <is>
          <t>Mono&lt;ServerResponse&gt; getAllProducts(ServerRequest request)</t>
        </is>
      </c>
      <c r="F53" s="23" t="inlineStr">
        <is>
          <t>-</t>
        </is>
      </c>
    </row>
    <row r="54">
      <c r="A54" s="23" t="inlineStr">
        <is>
          <t>Product &amp; Policy Service</t>
        </is>
      </c>
      <c r="B54" s="23" t="inlineStr">
        <is>
          <t>Handler (HTTP)</t>
        </is>
      </c>
      <c r="C54" s="23" t="inlineStr">
        <is>
          <t>ProductHandler</t>
        </is>
      </c>
      <c r="D54" s="23" t="inlineStr">
        <is>
          <t>updateStatus</t>
        </is>
      </c>
      <c r="E54" s="23" t="inlineStr">
        <is>
          <t>Mono&lt;ServerResponse&gt; updateStatus(ServerRequest request)</t>
        </is>
      </c>
      <c r="F54" s="23" t="inlineStr">
        <is>
          <t>-</t>
        </is>
      </c>
    </row>
    <row r="55">
      <c r="A55" s="23" t="inlineStr">
        <is>
          <t>Product &amp; Policy Service</t>
        </is>
      </c>
      <c r="B55" s="23" t="inlineStr">
        <is>
          <t>Handler (HTTP)</t>
        </is>
      </c>
      <c r="C55" s="23" t="inlineStr">
        <is>
          <t>ProductHandler</t>
        </is>
      </c>
      <c r="D55" s="23" t="inlineStr">
        <is>
          <t>deleteProduct</t>
        </is>
      </c>
      <c r="E55" s="23" t="inlineStr">
        <is>
          <t>Mono&lt;ServerResponse&gt; deleteProduct(ServerRequest request)</t>
        </is>
      </c>
      <c r="F55" s="23" t="inlineStr">
        <is>
          <t>-</t>
        </is>
      </c>
    </row>
    <row r="56">
      <c r="A56" s="23" t="inlineStr">
        <is>
          <t>Product &amp; Policy Service</t>
        </is>
      </c>
      <c r="B56" s="23" t="inlineStr">
        <is>
          <t>Handler (HTTP)</t>
        </is>
      </c>
      <c r="C56" s="23" t="inlineStr">
        <is>
          <t>ProductHandler</t>
        </is>
      </c>
      <c r="D56" s="23" t="inlineStr">
        <is>
          <t>getAdminProduct</t>
        </is>
      </c>
      <c r="E56" s="23" t="inlineStr">
        <is>
          <t>Mono&lt;ServerResponse&gt; getAdminProduct(ServerRequest request)</t>
        </is>
      </c>
      <c r="F56" s="23" t="inlineStr">
        <is>
          <t>-</t>
        </is>
      </c>
    </row>
    <row r="57">
      <c r="A57" s="23" t="inlineStr">
        <is>
          <t>Product &amp; Policy Service</t>
        </is>
      </c>
      <c r="B57" s="23" t="inlineStr">
        <is>
          <t>Handler (HTTP)</t>
        </is>
      </c>
      <c r="C57" s="23" t="inlineStr">
        <is>
          <t>ProductHandler</t>
        </is>
      </c>
      <c r="D57" s="23" t="inlineStr">
        <is>
          <t>getInternalProduct</t>
        </is>
      </c>
      <c r="E57" s="23" t="inlineStr">
        <is>
          <t>Mono&lt;ServerResponse&gt; getInternalProduct(ServerRequest request)</t>
        </is>
      </c>
      <c r="F57" s="23" t="inlineStr">
        <is>
          <t>-</t>
        </is>
      </c>
    </row>
    <row r="58">
      <c r="A58" s="23" t="inlineStr">
        <is>
          <t>Product &amp; Policy Service</t>
        </is>
      </c>
      <c r="B58" s="23" t="inlineStr">
        <is>
          <t>Handler (HTTP)</t>
        </is>
      </c>
      <c r="C58" s="23" t="inlineStr">
        <is>
          <t>ProductHandler</t>
        </is>
      </c>
      <c r="D58" s="23" t="inlineStr">
        <is>
          <t>getInternalProducts</t>
        </is>
      </c>
      <c r="E58" s="23" t="inlineStr">
        <is>
          <t>Mono&lt;ServerResponse&gt; getInternalProducts(ServerRequest request)</t>
        </is>
      </c>
      <c r="F58" s="23" t="inlineStr">
        <is>
          <t>-</t>
        </is>
      </c>
    </row>
    <row r="59">
      <c r="A59" s="23" t="inlineStr">
        <is>
          <t>Product &amp; Policy Service</t>
        </is>
      </c>
      <c r="B59" s="23" t="inlineStr">
        <is>
          <t>Handler (HTTP)</t>
        </is>
      </c>
      <c r="C59" s="23" t="inlineStr">
        <is>
          <t>ProductHandler</t>
        </is>
      </c>
      <c r="D59" s="23" t="inlineStr">
        <is>
          <t>updateThreshold</t>
        </is>
      </c>
      <c r="E59" s="23" t="inlineStr">
        <is>
          <t>Mono&lt;ServerResponse&gt; updateThreshold(ServerRequest request)</t>
        </is>
      </c>
      <c r="F59" s="23" t="inlineStr">
        <is>
          <t>-</t>
        </is>
      </c>
    </row>
    <row r="60">
      <c r="A60" s="23" t="inlineStr">
        <is>
          <t>Product &amp; Policy Service</t>
        </is>
      </c>
      <c r="B60" s="23" t="inlineStr">
        <is>
          <t>Handler (HTTP)</t>
        </is>
      </c>
      <c r="C60" s="23" t="inlineStr">
        <is>
          <t>ProductHandler</t>
        </is>
      </c>
      <c r="D60" s="23" t="inlineStr">
        <is>
          <t>getThresholdHistory</t>
        </is>
      </c>
      <c r="E60" s="23" t="inlineStr">
        <is>
          <t>Mono&lt;ServerResponse&gt; getThresholdHistory(ServerRequest request)</t>
        </is>
      </c>
      <c r="F60" s="23" t="inlineStr">
        <is>
          <t>-</t>
        </is>
      </c>
    </row>
    <row r="61">
      <c r="A61" s="23" t="inlineStr">
        <is>
          <t>Product &amp; Policy Service</t>
        </is>
      </c>
      <c r="B61" s="23" t="inlineStr">
        <is>
          <t>Handler (HTTP)</t>
        </is>
      </c>
      <c r="C61" s="23" t="inlineStr">
        <is>
          <t>ProductHandler</t>
        </is>
      </c>
      <c r="D61" s="23" t="inlineStr">
        <is>
          <t>syncTrigger</t>
        </is>
      </c>
      <c r="E61" s="23" t="inlineStr">
        <is>
          <t>Mono&lt;ServerResponse&gt; syncTrigger(ServerRequest request)</t>
        </is>
      </c>
      <c r="F61" s="23" t="inlineStr">
        <is>
          <t>-</t>
        </is>
      </c>
    </row>
    <row r="62">
      <c r="A62" s="23" t="inlineStr">
        <is>
          <t>Product &amp; Policy Service</t>
        </is>
      </c>
      <c r="B62" s="23" t="inlineStr">
        <is>
          <t>Handler (HTTP)</t>
        </is>
      </c>
      <c r="C62" s="23" t="inlineStr">
        <is>
          <t>ProductHandler</t>
        </is>
      </c>
      <c r="D62" s="23" t="inlineStr">
        <is>
          <t>getMeasurementStatus</t>
        </is>
      </c>
      <c r="E62" s="23" t="inlineStr">
        <is>
          <t>Mono&lt;ServerResponse&gt; getMeasurementStatus(ServerRequest request)</t>
        </is>
      </c>
      <c r="F62" s="23" t="inlineStr">
        <is>
          <t>-</t>
        </is>
      </c>
    </row>
    <row r="63">
      <c r="A63" s="23" t="inlineStr">
        <is>
          <t>Product &amp; Policy Service</t>
        </is>
      </c>
      <c r="B63" s="23" t="inlineStr">
        <is>
          <t>Handler (HTTP)</t>
        </is>
      </c>
      <c r="C63" s="23" t="inlineStr">
        <is>
          <t>ProductHandler</t>
        </is>
      </c>
      <c r="D63" s="23" t="inlineStr">
        <is>
          <t>getPublicMeasurementStatus</t>
        </is>
      </c>
      <c r="E63" s="23" t="inlineStr">
        <is>
          <t>Mono&lt;ServerResponse&gt; getPublicMeasurementStatus(ServerRequest request)</t>
        </is>
      </c>
      <c r="F63" s="23" t="inlineStr">
        <is>
          <t>-</t>
        </is>
      </c>
    </row>
    <row r="64">
      <c r="A64" s="23" t="inlineStr">
        <is>
          <t>Product &amp; Policy Service</t>
        </is>
      </c>
      <c r="B64" s="23" t="inlineStr">
        <is>
          <t>Service (business)</t>
        </is>
      </c>
      <c r="C64" s="23" t="inlineStr">
        <is>
          <t>NotificationService</t>
        </is>
      </c>
      <c r="D64" s="23" t="inlineStr">
        <is>
          <t>notifyPolicySubmitted</t>
        </is>
      </c>
      <c r="E64" s="23" t="inlineStr">
        <is>
          <t>Mono&lt;Void&gt; notifyPolicySubmitted(Long customerId, Long policyId, String policyNumber)</t>
        </is>
      </c>
      <c r="F64" s="23" t="inlineStr">
        <is>
          <t>-</t>
        </is>
      </c>
    </row>
    <row r="65">
      <c r="A65" s="23" t="inlineStr">
        <is>
          <t>Product &amp; Policy Service</t>
        </is>
      </c>
      <c r="B65" s="23" t="inlineStr">
        <is>
          <t>Service (business)</t>
        </is>
      </c>
      <c r="C65" s="23" t="inlineStr">
        <is>
          <t>NotificationService</t>
        </is>
      </c>
      <c r="D65" s="23" t="inlineStr">
        <is>
          <t>notifyPolicyPendingReview</t>
        </is>
      </c>
      <c r="E65" s="23" t="inlineStr">
        <is>
          <t>Mono&lt;Void&gt; notifyPolicyPendingReview(Long policyId, String policyNumber)</t>
        </is>
      </c>
      <c r="F65" s="23" t="inlineStr">
        <is>
          <t>-</t>
        </is>
      </c>
    </row>
    <row r="66">
      <c r="A66" s="23" t="inlineStr">
        <is>
          <t>Product &amp; Policy Service</t>
        </is>
      </c>
      <c r="B66" s="23" t="inlineStr">
        <is>
          <t>Service (business)</t>
        </is>
      </c>
      <c r="C66" s="23" t="inlineStr">
        <is>
          <t>NotificationService</t>
        </is>
      </c>
      <c r="D66" s="23" t="inlineStr">
        <is>
          <t>notifyPolicyApproved</t>
        </is>
      </c>
      <c r="E66" s="23" t="inlineStr">
        <is>
          <t>Mono&lt;Void&gt; notifyPolicyApproved(Long customerId, Long policyId, String policyNumber)</t>
        </is>
      </c>
      <c r="F66" s="23" t="inlineStr">
        <is>
          <t>-</t>
        </is>
      </c>
    </row>
    <row r="67">
      <c r="A67" s="23" t="inlineStr">
        <is>
          <t>Product &amp; Policy Service</t>
        </is>
      </c>
      <c r="B67" s="23" t="inlineStr">
        <is>
          <t>Service (business)</t>
        </is>
      </c>
      <c r="C67" s="23" t="inlineStr">
        <is>
          <t>NotificationService</t>
        </is>
      </c>
      <c r="D67" s="23" t="inlineStr">
        <is>
          <t>notifyPolicyRejected</t>
        </is>
      </c>
      <c r="E67" s="23" t="inlineStr">
        <is>
          <t>Mono&lt;Void&gt; notifyPolicyRejected(Long customerId, Long policyId, String policyNumber, String reason)</t>
        </is>
      </c>
      <c r="F67" s="23" t="inlineStr">
        <is>
          <t>-</t>
        </is>
      </c>
    </row>
    <row r="68">
      <c r="A68" s="23" t="inlineStr">
        <is>
          <t>Product &amp; Policy Service</t>
        </is>
      </c>
      <c r="B68" s="23" t="inlineStr">
        <is>
          <t>Service (business)</t>
        </is>
      </c>
      <c r="C68" s="23" t="inlineStr">
        <is>
          <t>NotificationService</t>
        </is>
      </c>
      <c r="D68" s="23" t="inlineStr">
        <is>
          <t>notifyPolicyCancelled</t>
        </is>
      </c>
      <c r="E68" s="23" t="inlineStr">
        <is>
          <t>Mono&lt;Void&gt; notifyPolicyCancelled(Long customerId, Long policyId, String policyNumber)</t>
        </is>
      </c>
      <c r="F68" s="23" t="inlineStr">
        <is>
          <t>-</t>
        </is>
      </c>
    </row>
    <row r="69">
      <c r="A69" s="23" t="inlineStr">
        <is>
          <t>Product &amp; Policy Service</t>
        </is>
      </c>
      <c r="B69" s="23" t="inlineStr">
        <is>
          <t>Service (business)</t>
        </is>
      </c>
      <c r="C69" s="23" t="inlineStr">
        <is>
          <t>NotificationService</t>
        </is>
      </c>
      <c r="D69" s="23" t="inlineStr">
        <is>
          <t>notifyPolicyExpired</t>
        </is>
      </c>
      <c r="E69" s="23" t="inlineStr">
        <is>
          <t>Mono&lt;Void&gt; notifyPolicyExpired(Long customerId, Long policyId, String policyNumber)</t>
        </is>
      </c>
      <c r="F69" s="23" t="inlineStr">
        <is>
          <t>-</t>
        </is>
      </c>
    </row>
    <row r="70">
      <c r="A70" s="23" t="inlineStr">
        <is>
          <t>Product &amp; Policy Service</t>
        </is>
      </c>
      <c r="B70" s="23" t="inlineStr">
        <is>
          <t>Service (business)</t>
        </is>
      </c>
      <c r="C70" s="23" t="inlineStr">
        <is>
          <t>NotificationService</t>
        </is>
      </c>
      <c r="D70" s="23" t="inlineStr">
        <is>
          <t>notifyPolicyRenewalDue</t>
        </is>
      </c>
      <c r="E70" s="23" t="inlineStr">
        <is>
          <t>Mono&lt;Void&gt; notifyPolicyRenewalDue(Long customerId, Long policyId, String policyNumber)</t>
        </is>
      </c>
      <c r="F70" s="23" t="inlineStr">
        <is>
          <t>-</t>
        </is>
      </c>
    </row>
    <row r="71">
      <c r="A71" s="23" t="inlineStr">
        <is>
          <t>Product &amp; Policy Service</t>
        </is>
      </c>
      <c r="B71" s="23" t="inlineStr">
        <is>
          <t>Service (business)</t>
        </is>
      </c>
      <c r="C71" s="23" t="inlineStr">
        <is>
          <t>NotificationService</t>
        </is>
      </c>
      <c r="D71" s="23" t="inlineStr">
        <is>
          <t>notifyPolicyDocumentRequested</t>
        </is>
      </c>
      <c r="E71" s="23" t="inlineStr">
        <is>
          <t>Mono&lt;Void&gt; notifyPolicyDocumentRequested(Long customerId, Long policyId, String policyNumber)</t>
        </is>
      </c>
      <c r="F71" s="23" t="inlineStr">
        <is>
          <t>-</t>
        </is>
      </c>
    </row>
    <row r="72">
      <c r="A72" s="23" t="inlineStr">
        <is>
          <t>Product &amp; Policy Service</t>
        </is>
      </c>
      <c r="B72" s="23" t="inlineStr">
        <is>
          <t>Service (business)</t>
        </is>
      </c>
      <c r="C72" s="23" t="inlineStr">
        <is>
          <t>NotificationService</t>
        </is>
      </c>
      <c r="D72" s="23" t="inlineStr">
        <is>
          <t>notifyProductCreated</t>
        </is>
      </c>
      <c r="E72" s="23" t="inlineStr">
        <is>
          <t>Mono&lt;Void&gt; notifyProductCreated(Long productId, String productName)</t>
        </is>
      </c>
      <c r="F72" s="23" t="inlineStr">
        <is>
          <t>-</t>
        </is>
      </c>
    </row>
    <row r="73">
      <c r="A73" s="23" t="inlineStr">
        <is>
          <t>Product &amp; Policy Service</t>
        </is>
      </c>
      <c r="B73" s="23" t="inlineStr">
        <is>
          <t>Service (business)</t>
        </is>
      </c>
      <c r="C73" s="23" t="inlineStr">
        <is>
          <t>NotificationService</t>
        </is>
      </c>
      <c r="D73" s="23" t="inlineStr">
        <is>
          <t>notifyProductUpdated</t>
        </is>
      </c>
      <c r="E73" s="23" t="inlineStr">
        <is>
          <t>Mono&lt;Void&gt; notifyProductUpdated(Long productId, String productName)</t>
        </is>
      </c>
      <c r="F73" s="23" t="inlineStr">
        <is>
          <t>-</t>
        </is>
      </c>
    </row>
    <row r="74">
      <c r="A74" s="23" t="inlineStr">
        <is>
          <t>Product &amp; Policy Service</t>
        </is>
      </c>
      <c r="B74" s="23" t="inlineStr">
        <is>
          <t>Service (business)</t>
        </is>
      </c>
      <c r="C74" s="23" t="inlineStr">
        <is>
          <t>PolicyCertificateService</t>
        </is>
      </c>
      <c r="D74" s="23" t="inlineStr">
        <is>
          <t>forCustomer</t>
        </is>
      </c>
      <c r="E74" s="23" t="inlineStr">
        <is>
          <t>Mono&lt;Certificate&gt; forCustomer(Long customerId,Long policyId)</t>
        </is>
      </c>
      <c r="F74" s="23" t="inlineStr">
        <is>
          <t>-</t>
        </is>
      </c>
    </row>
    <row r="75">
      <c r="A75" s="23" t="inlineStr">
        <is>
          <t>Product &amp; Policy Service</t>
        </is>
      </c>
      <c r="B75" s="23" t="inlineStr">
        <is>
          <t>Service (business)</t>
        </is>
      </c>
      <c r="C75" s="23" t="inlineStr">
        <is>
          <t>PolicyCertificateService</t>
        </is>
      </c>
      <c r="D75" s="23" t="inlineStr">
        <is>
          <t>forStaff</t>
        </is>
      </c>
      <c r="E75" s="23" t="inlineStr">
        <is>
          <t>Mono&lt;Certificate&gt; forStaff(Long policyId)</t>
        </is>
      </c>
      <c r="F75" s="23" t="inlineStr">
        <is>
          <t>-</t>
        </is>
      </c>
    </row>
    <row r="76">
      <c r="A76" s="23" t="inlineStr">
        <is>
          <t>Product &amp; Policy Service</t>
        </is>
      </c>
      <c r="B76" s="23" t="inlineStr">
        <is>
          <t>Service (business)</t>
        </is>
      </c>
      <c r="C76" s="23" t="inlineStr">
        <is>
          <t>PolicyService</t>
        </is>
      </c>
      <c r="D76" s="23" t="inlineStr">
        <is>
          <t>createPolicy</t>
        </is>
      </c>
      <c r="E76" s="23" t="inlineStr">
        <is>
          <t>Mono&lt;PolicyResponse&gt; createPolicy(Long customerId, CreatePolicyRequest request)</t>
        </is>
      </c>
      <c r="F76" s="23" t="inlineStr">
        <is>
          <t>-</t>
        </is>
      </c>
    </row>
    <row r="77">
      <c r="A77" s="23" t="inlineStr">
        <is>
          <t>Product &amp; Policy Service</t>
        </is>
      </c>
      <c r="B77" s="23" t="inlineStr">
        <is>
          <t>Service (business)</t>
        </is>
      </c>
      <c r="C77" s="23" t="inlineStr">
        <is>
          <t>PolicyService</t>
        </is>
      </c>
      <c r="D77" s="23" t="inlineStr">
        <is>
          <t>createCustomPolicy</t>
        </is>
      </c>
      <c r="E77" s="23" t="inlineStr">
        <is>
          <t>Mono&lt;PolicyResponse&gt; createCustomPolicy(Long customerId, CreateCustomPolicyRequest request)</t>
        </is>
      </c>
      <c r="F77" s="23" t="inlineStr">
        <is>
          <t>-</t>
        </is>
      </c>
    </row>
    <row r="78">
      <c r="A78" s="23" t="inlineStr">
        <is>
          <t>Product &amp; Policy Service</t>
        </is>
      </c>
      <c r="B78" s="23" t="inlineStr">
        <is>
          <t>Service (business)</t>
        </is>
      </c>
      <c r="C78" s="23" t="inlineStr">
        <is>
          <t>PolicyService</t>
        </is>
      </c>
      <c r="D78" s="23" t="inlineStr">
        <is>
          <t>getMyPolicies</t>
        </is>
      </c>
      <c r="E78" s="23" t="inlineStr">
        <is>
          <t>Flux&lt;PolicyResponse&gt; getMyPolicies(Long customerId, String status)</t>
        </is>
      </c>
      <c r="F78" s="23" t="inlineStr">
        <is>
          <t>-</t>
        </is>
      </c>
    </row>
    <row r="79">
      <c r="A79" s="23" t="inlineStr">
        <is>
          <t>Product &amp; Policy Service</t>
        </is>
      </c>
      <c r="B79" s="23" t="inlineStr">
        <is>
          <t>Service (business)</t>
        </is>
      </c>
      <c r="C79" s="23" t="inlineStr">
        <is>
          <t>PolicyService</t>
        </is>
      </c>
      <c r="D79" s="23" t="inlineStr">
        <is>
          <t>getMyPolicy</t>
        </is>
      </c>
      <c r="E79" s="23" t="inlineStr">
        <is>
          <t>Mono&lt;PolicyResponse&gt; getMyPolicy(Long customerId, Long policyId)</t>
        </is>
      </c>
      <c r="F79" s="23" t="inlineStr">
        <is>
          <t>-</t>
        </is>
      </c>
    </row>
    <row r="80">
      <c r="A80" s="23" t="inlineStr">
        <is>
          <t>Product &amp; Policy Service</t>
        </is>
      </c>
      <c r="B80" s="23" t="inlineStr">
        <is>
          <t>Service (business)</t>
        </is>
      </c>
      <c r="C80" s="23" t="inlineStr">
        <is>
          <t>PolicyService</t>
        </is>
      </c>
      <c r="D80" s="23" t="inlineStr">
        <is>
          <t>cancelPolicy</t>
        </is>
      </c>
      <c r="E80" s="23" t="inlineStr">
        <is>
          <t>Mono&lt;MessageResponse&gt; cancelPolicy(Long customerId, Long policyId)</t>
        </is>
      </c>
      <c r="F80" s="23" t="inlineStr">
        <is>
          <t>-</t>
        </is>
      </c>
    </row>
    <row r="81">
      <c r="A81" s="23" t="inlineStr">
        <is>
          <t>Product &amp; Policy Service</t>
        </is>
      </c>
      <c r="B81" s="23" t="inlineStr">
        <is>
          <t>Service (business)</t>
        </is>
      </c>
      <c r="C81" s="23" t="inlineStr">
        <is>
          <t>PolicyService</t>
        </is>
      </c>
      <c r="D81" s="23" t="inlineStr">
        <is>
          <t>getReviewHistory</t>
        </is>
      </c>
      <c r="E81" s="23" t="inlineStr">
        <is>
          <t>Flux&lt;PolicyReviewHistoryResponse&gt; getReviewHistory(Long reviewerId)</t>
        </is>
      </c>
      <c r="F81" s="23" t="inlineStr">
        <is>
          <t>-</t>
        </is>
      </c>
    </row>
    <row r="82">
      <c r="A82" s="23" t="inlineStr">
        <is>
          <t>Product &amp; Policy Service</t>
        </is>
      </c>
      <c r="B82" s="23" t="inlineStr">
        <is>
          <t>Service (business)</t>
        </is>
      </c>
      <c r="C82" s="23" t="inlineStr">
        <is>
          <t>PolicyService</t>
        </is>
      </c>
      <c r="D82" s="23" t="inlineStr">
        <is>
          <t>getPendingPolicies</t>
        </is>
      </c>
      <c r="E82" s="23" t="inlineStr">
        <is>
          <t>Flux&lt;PolicyResponse&gt; getPendingPolicies()</t>
        </is>
      </c>
      <c r="F82" s="23" t="inlineStr">
        <is>
          <t>-</t>
        </is>
      </c>
    </row>
    <row r="83">
      <c r="A83" s="23" t="inlineStr">
        <is>
          <t>Product &amp; Policy Service</t>
        </is>
      </c>
      <c r="B83" s="23" t="inlineStr">
        <is>
          <t>Service (business)</t>
        </is>
      </c>
      <c r="C83" s="23" t="inlineStr">
        <is>
          <t>PolicyService</t>
        </is>
      </c>
      <c r="D83" s="23" t="inlineStr">
        <is>
          <t>getAllPolicies</t>
        </is>
      </c>
      <c r="E83" s="23" t="inlineStr">
        <is>
          <t>Flux&lt;PolicyResponse&gt; getAllPolicies(String status,Long customerId)</t>
        </is>
      </c>
      <c r="F83" s="23" t="inlineStr">
        <is>
          <t>-</t>
        </is>
      </c>
    </row>
    <row r="84">
      <c r="A84" s="23" t="inlineStr">
        <is>
          <t>Product &amp; Policy Service</t>
        </is>
      </c>
      <c r="B84" s="23" t="inlineStr">
        <is>
          <t>Service (business)</t>
        </is>
      </c>
      <c r="C84" s="23" t="inlineStr">
        <is>
          <t>PolicyService</t>
        </is>
      </c>
      <c r="D84" s="23" t="inlineStr">
        <is>
          <t>getPolicy</t>
        </is>
      </c>
      <c r="E84" s="23" t="inlineStr">
        <is>
          <t>Mono&lt;PolicyResponse&gt; getPolicy(Long policyId)</t>
        </is>
      </c>
      <c r="F84" s="23" t="inlineStr">
        <is>
          <t>-</t>
        </is>
      </c>
    </row>
    <row r="85">
      <c r="A85" s="23" t="inlineStr">
        <is>
          <t>Product &amp; Policy Service</t>
        </is>
      </c>
      <c r="B85" s="23" t="inlineStr">
        <is>
          <t>Service (business)</t>
        </is>
      </c>
      <c r="C85" s="23" t="inlineStr">
        <is>
          <t>PolicyService</t>
        </is>
      </c>
      <c r="D85" s="23" t="inlineStr">
        <is>
          <t>approvePolicy</t>
        </is>
      </c>
      <c r="E85" s="23" t="inlineStr">
        <is>
          <t>Mono&lt;PolicyResponse&gt; approvePolicy(Long reviewerId, Long policyId)</t>
        </is>
      </c>
      <c r="F85" s="23" t="inlineStr">
        <is>
          <t>-</t>
        </is>
      </c>
    </row>
    <row r="86">
      <c r="A86" s="23" t="inlineStr">
        <is>
          <t>Product &amp; Policy Service</t>
        </is>
      </c>
      <c r="B86" s="23" t="inlineStr">
        <is>
          <t>Service (business)</t>
        </is>
      </c>
      <c r="C86" s="23" t="inlineStr">
        <is>
          <t>PolicyService</t>
        </is>
      </c>
      <c r="D86" s="23" t="inlineStr">
        <is>
          <t>rejectPolicy</t>
        </is>
      </c>
      <c r="E86" s="23" t="inlineStr">
        <is>
          <t>Mono&lt;PolicyResponse&gt; rejectPolicy(Long reviewerId, Long policyId, PolicyDecisionRequest request)</t>
        </is>
      </c>
      <c r="F86" s="23" t="inlineStr">
        <is>
          <t>-</t>
        </is>
      </c>
    </row>
    <row r="87">
      <c r="A87" s="23" t="inlineStr">
        <is>
          <t>Product &amp; Policy Service</t>
        </is>
      </c>
      <c r="B87" s="23" t="inlineStr">
        <is>
          <t>Service (business)</t>
        </is>
      </c>
      <c r="C87" s="23" t="inlineStr">
        <is>
          <t>PolicyService</t>
        </is>
      </c>
      <c r="D87" s="23" t="inlineStr">
        <is>
          <t>getInternalPolicy</t>
        </is>
      </c>
      <c r="E87" s="23" t="inlineStr">
        <is>
          <t>Mono&lt;InternalPolicyResponse&gt; getInternalPolicy(Long policyId)</t>
        </is>
      </c>
      <c r="F87" s="23" t="inlineStr">
        <is>
          <t>-</t>
        </is>
      </c>
    </row>
    <row r="88">
      <c r="A88" s="23" t="inlineStr">
        <is>
          <t>Product &amp; Policy Service</t>
        </is>
      </c>
      <c r="B88" s="23" t="inlineStr">
        <is>
          <t>Service (business)</t>
        </is>
      </c>
      <c r="C88" s="23" t="inlineStr">
        <is>
          <t>PolicyService</t>
        </is>
      </c>
      <c r="D88" s="23" t="inlineStr">
        <is>
          <t>getPolicyHistory</t>
        </is>
      </c>
      <c r="E88" s="23" t="inlineStr">
        <is>
          <t>Flux&lt;PolicyStatusHistoryResponse&gt; getPolicyHistory(Long policyId)</t>
        </is>
      </c>
      <c r="F88" s="23" t="inlineStr">
        <is>
          <t>-</t>
        </is>
      </c>
    </row>
    <row r="89">
      <c r="A89" s="23" t="inlineStr">
        <is>
          <t>Product &amp; Policy Service</t>
        </is>
      </c>
      <c r="B89" s="23" t="inlineStr">
        <is>
          <t>Service (business)</t>
        </is>
      </c>
      <c r="C89" s="23" t="inlineStr">
        <is>
          <t>PolicyService</t>
        </is>
      </c>
      <c r="D89" s="23" t="inlineStr">
        <is>
          <t>getPolicySnapshot</t>
        </is>
      </c>
      <c r="E89" s="23" t="inlineStr">
        <is>
          <t>Mono&lt;PolicyTriggerSnapshotResponse&gt; getPolicySnapshot(Long policyId)</t>
        </is>
      </c>
      <c r="F89" s="23" t="inlineStr">
        <is>
          <t>-</t>
        </is>
      </c>
    </row>
    <row r="90">
      <c r="A90" s="23" t="inlineStr">
        <is>
          <t>Product &amp; Policy Service</t>
        </is>
      </c>
      <c r="B90" s="23" t="inlineStr">
        <is>
          <t>Service (business)</t>
        </is>
      </c>
      <c r="C90" s="23" t="inlineStr">
        <is>
          <t>PolicyService</t>
        </is>
      </c>
      <c r="D90" s="23" t="inlineStr">
        <is>
          <t>renewPolicy</t>
        </is>
      </c>
      <c r="E90" s="23" t="inlineStr">
        <is>
          <t>Mono&lt;PolicyResponse&gt; renewPolicy(Long customerId,Long policyId)</t>
        </is>
      </c>
      <c r="F90" s="23" t="inlineStr">
        <is>
          <t>-</t>
        </is>
      </c>
    </row>
    <row r="91">
      <c r="A91" s="23" t="inlineStr">
        <is>
          <t>Product &amp; Policy Service</t>
        </is>
      </c>
      <c r="B91" s="23" t="inlineStr">
        <is>
          <t>Service (business)</t>
        </is>
      </c>
      <c r="C91" s="23" t="inlineStr">
        <is>
          <t>PolicyService</t>
        </is>
      </c>
      <c r="D91" s="23" t="inlineStr">
        <is>
          <t>createAutomaticRenewal</t>
        </is>
      </c>
      <c r="E91" s="23" t="inlineStr">
        <is>
          <t>Mono&lt;PolicyResponse&gt; createAutomaticRenewal(Policy policy)</t>
        </is>
      </c>
      <c r="F91" s="23" t="inlineStr">
        <is>
          <t>-</t>
        </is>
      </c>
    </row>
    <row r="92">
      <c r="A92" s="23" t="inlineStr">
        <is>
          <t>Product &amp; Policy Service</t>
        </is>
      </c>
      <c r="B92" s="23" t="inlineStr">
        <is>
          <t>Service (business)</t>
        </is>
      </c>
      <c r="C92" s="23" t="inlineStr">
        <is>
          <t>PolicyService</t>
        </is>
      </c>
      <c r="D92" s="23" t="inlineStr">
        <is>
          <t>setAutoRenew</t>
        </is>
      </c>
      <c r="E92" s="23" t="inlineStr">
        <is>
          <t>Mono&lt;PolicyResponse&gt; setAutoRenew(Long customerId,Long policyId,boolean enabled)</t>
        </is>
      </c>
      <c r="F92" s="23" t="inlineStr">
        <is>
          <t>-</t>
        </is>
      </c>
    </row>
    <row r="93">
      <c r="A93" s="23" t="inlineStr">
        <is>
          <t>Product &amp; Policy Service</t>
        </is>
      </c>
      <c r="B93" s="23" t="inlineStr">
        <is>
          <t>Service (business)</t>
        </is>
      </c>
      <c r="C93" s="23" t="inlineStr">
        <is>
          <t>PolicyService</t>
        </is>
      </c>
      <c r="D93" s="23" t="inlineStr">
        <is>
          <t>getActiveZones</t>
        </is>
      </c>
      <c r="E93" s="23" t="inlineStr">
        <is>
          <t>Mono&lt;List&lt;InternalZoneResponse&gt;&gt; getActiveZones()</t>
        </is>
      </c>
      <c r="F93" s="23" t="inlineStr">
        <is>
          <t>-</t>
        </is>
      </c>
    </row>
    <row r="94">
      <c r="A94" s="23" t="inlineStr">
        <is>
          <t>Product &amp; Policy Service</t>
        </is>
      </c>
      <c r="B94" s="23" t="inlineStr">
        <is>
          <t>Service (business)</t>
        </is>
      </c>
      <c r="C94" s="23" t="inlineStr">
        <is>
          <t>ProductService</t>
        </is>
      </c>
      <c r="D94" s="23" t="inlineStr">
        <is>
          <t>createProduct</t>
        </is>
      </c>
      <c r="E94" s="23" t="inlineStr">
        <is>
          <t>Mono&lt;ProductResponse&gt; createProduct(Long adminId, ProductRequest request)</t>
        </is>
      </c>
      <c r="F94" s="23" t="inlineStr">
        <is>
          <t>-</t>
        </is>
      </c>
    </row>
    <row r="95">
      <c r="A95" s="23" t="inlineStr">
        <is>
          <t>Product &amp; Policy Service</t>
        </is>
      </c>
      <c r="B95" s="23" t="inlineStr">
        <is>
          <t>Service (business)</t>
        </is>
      </c>
      <c r="C95" s="23" t="inlineStr">
        <is>
          <t>ProductService</t>
        </is>
      </c>
      <c r="D95" s="23" t="inlineStr">
        <is>
          <t>createCustomerDefinedProduct</t>
        </is>
      </c>
      <c r="E95" s="23" t="inlineStr">
        <is>
          <t>Mono&lt;ProductResponse&gt; createCustomerDefinedProduct(Long customerId, ProductRequest request)</t>
        </is>
      </c>
      <c r="F95" s="23" t="inlineStr">
        <is>
          <t>-</t>
        </is>
      </c>
    </row>
    <row r="96">
      <c r="A96" s="23" t="inlineStr">
        <is>
          <t>Product &amp; Policy Service</t>
        </is>
      </c>
      <c r="B96" s="23" t="inlineStr">
        <is>
          <t>Service (business)</t>
        </is>
      </c>
      <c r="C96" s="23" t="inlineStr">
        <is>
          <t>ProductService</t>
        </is>
      </c>
      <c r="D96" s="23" t="inlineStr">
        <is>
          <t>updateProduct</t>
        </is>
      </c>
      <c r="E96" s="23" t="inlineStr">
        <is>
          <t>Mono&lt;ProductResponse&gt; updateProduct(Long productId, ProductRequest request)</t>
        </is>
      </c>
      <c r="F96" s="23" t="inlineStr">
        <is>
          <t>-</t>
        </is>
      </c>
    </row>
    <row r="97">
      <c r="A97" s="23" t="inlineStr">
        <is>
          <t>Product &amp; Policy Service</t>
        </is>
      </c>
      <c r="B97" s="23" t="inlineStr">
        <is>
          <t>Service (business)</t>
        </is>
      </c>
      <c r="C97" s="23" t="inlineStr">
        <is>
          <t>ProductService</t>
        </is>
      </c>
      <c r="D97" s="23" t="inlineStr">
        <is>
          <t>getActiveProducts</t>
        </is>
      </c>
      <c r="E97" s="23" t="inlineStr">
        <is>
          <t>Flux&lt;ProductResponse&gt; getActiveProducts()</t>
        </is>
      </c>
      <c r="F97" s="23" t="inlineStr">
        <is>
          <t>-</t>
        </is>
      </c>
    </row>
    <row r="98">
      <c r="A98" s="23" t="inlineStr">
        <is>
          <t>Product &amp; Policy Service</t>
        </is>
      </c>
      <c r="B98" s="23" t="inlineStr">
        <is>
          <t>Service (business)</t>
        </is>
      </c>
      <c r="C98" s="23" t="inlineStr">
        <is>
          <t>ProductService</t>
        </is>
      </c>
      <c r="D98" s="23" t="inlineStr">
        <is>
          <t>getActiveProduct</t>
        </is>
      </c>
      <c r="E98" s="23" t="inlineStr">
        <is>
          <t>Mono&lt;ProductResponse&gt; getActiveProduct(Long productId)</t>
        </is>
      </c>
      <c r="F98" s="23" t="inlineStr">
        <is>
          <t>-</t>
        </is>
      </c>
    </row>
    <row r="99">
      <c r="A99" s="23" t="inlineStr">
        <is>
          <t>Product &amp; Policy Service</t>
        </is>
      </c>
      <c r="B99" s="23" t="inlineStr">
        <is>
          <t>Service (business)</t>
        </is>
      </c>
      <c r="C99" s="23" t="inlineStr">
        <is>
          <t>ProductService</t>
        </is>
      </c>
      <c r="D99" s="23" t="inlineStr">
        <is>
          <t>getProductsByCategory</t>
        </is>
      </c>
      <c r="E99" s="23" t="inlineStr">
        <is>
          <t>Flux&lt;ProductResponse&gt; getProductsByCategory(String category)</t>
        </is>
      </c>
      <c r="F99" s="23" t="inlineStr">
        <is>
          <t>-</t>
        </is>
      </c>
    </row>
    <row r="100">
      <c r="A100" s="23" t="inlineStr">
        <is>
          <t>Product &amp; Policy Service</t>
        </is>
      </c>
      <c r="B100" s="23" t="inlineStr">
        <is>
          <t>Service (business)</t>
        </is>
      </c>
      <c r="C100" s="23" t="inlineStr">
        <is>
          <t>ProductService</t>
        </is>
      </c>
      <c r="D100" s="23" t="inlineStr">
        <is>
          <t>getAllProducts</t>
        </is>
      </c>
      <c r="E100" s="23" t="inlineStr">
        <is>
          <t>Flux&lt;ProductResponse&gt; getAllProducts()</t>
        </is>
      </c>
      <c r="F100" s="23" t="inlineStr">
        <is>
          <t>-</t>
        </is>
      </c>
    </row>
    <row r="101">
      <c r="A101" s="23" t="inlineStr">
        <is>
          <t>Product &amp; Policy Service</t>
        </is>
      </c>
      <c r="B101" s="23" t="inlineStr">
        <is>
          <t>Service (business)</t>
        </is>
      </c>
      <c r="C101" s="23" t="inlineStr">
        <is>
          <t>ProductService</t>
        </is>
      </c>
      <c r="D101" s="23" t="inlineStr">
        <is>
          <t>getEligiblePoliciesForEvent</t>
        </is>
      </c>
      <c r="E101" s="23" t="inlineStr">
        <is>
          <t>Flux&lt;EligiblePolicyResponse&gt; getEligiblePoliciesForEvent(Long productId, Long locationZoneId, LocalDateTime eventStart, LocalDateTime eventEnd, Long triggerEventId)</t>
        </is>
      </c>
      <c r="F101" s="23" t="inlineStr">
        <is>
          <t>-</t>
        </is>
      </c>
    </row>
    <row r="102">
      <c r="A102" s="23" t="inlineStr">
        <is>
          <t>Product &amp; Policy Service</t>
        </is>
      </c>
      <c r="B102" s="23" t="inlineStr">
        <is>
          <t>Service (business)</t>
        </is>
      </c>
      <c r="C102" s="23" t="inlineStr">
        <is>
          <t>ProductService</t>
        </is>
      </c>
      <c r="D102" s="23" t="inlineStr">
        <is>
          <t>hasActivePoliciesForZone</t>
        </is>
      </c>
      <c r="E102" s="23" t="inlineStr">
        <is>
          <t>Mono&lt;Boolean&gt; hasActivePoliciesForZone(Long locationZoneId)</t>
        </is>
      </c>
      <c r="F102" s="23" t="inlineStr">
        <is>
          <t>-</t>
        </is>
      </c>
    </row>
    <row r="103">
      <c r="A103" s="23" t="inlineStr">
        <is>
          <t>Product &amp; Policy Service</t>
        </is>
      </c>
      <c r="B103" s="23" t="inlineStr">
        <is>
          <t>Service (business)</t>
        </is>
      </c>
      <c r="C103" s="23" t="inlineStr">
        <is>
          <t>ProductService</t>
        </is>
      </c>
      <c r="D103" s="23" t="inlineStr">
        <is>
          <t>updateStatus</t>
        </is>
      </c>
      <c r="E103" s="23" t="inlineStr">
        <is>
          <t>Mono&lt;ProductResponse&gt; updateStatus(Long productId, UpdateProductStatusRequest request)</t>
        </is>
      </c>
      <c r="F103" s="23" t="inlineStr">
        <is>
          <t>-</t>
        </is>
      </c>
    </row>
    <row r="104">
      <c r="A104" s="23" t="inlineStr">
        <is>
          <t>Product &amp; Policy Service</t>
        </is>
      </c>
      <c r="B104" s="23" t="inlineStr">
        <is>
          <t>Service (business)</t>
        </is>
      </c>
      <c r="C104" s="23" t="inlineStr">
        <is>
          <t>ProductService</t>
        </is>
      </c>
      <c r="D104" s="23" t="inlineStr">
        <is>
          <t>deleteProduct</t>
        </is>
      </c>
      <c r="E104" s="23" t="inlineStr">
        <is>
          <t>Mono&lt;MessageResponse&gt; deleteProduct(Long productId)</t>
        </is>
      </c>
      <c r="F104" s="23" t="inlineStr">
        <is>
          <t>-</t>
        </is>
      </c>
    </row>
    <row r="105">
      <c r="A105" s="23" t="inlineStr">
        <is>
          <t>Product &amp; Policy Service</t>
        </is>
      </c>
      <c r="B105" s="23" t="inlineStr">
        <is>
          <t>Service (business)</t>
        </is>
      </c>
      <c r="C105" s="23" t="inlineStr">
        <is>
          <t>ProductService</t>
        </is>
      </c>
      <c r="D105" s="23" t="inlineStr">
        <is>
          <t>updateThreshold</t>
        </is>
      </c>
      <c r="E105" s="23" t="inlineStr">
        <is>
          <t>Mono&lt;ProductThresholdUpdateResponse&gt; updateThreshold(Long adminId, Long productId, ProductThresholdUpdateRequest request)</t>
        </is>
      </c>
      <c r="F105" s="23" t="inlineStr">
        <is>
          <t>-</t>
        </is>
      </c>
    </row>
    <row r="106">
      <c r="A106" s="23" t="inlineStr">
        <is>
          <t>Product &amp; Policy Service</t>
        </is>
      </c>
      <c r="B106" s="23" t="inlineStr">
        <is>
          <t>Service (business)</t>
        </is>
      </c>
      <c r="C106" s="23" t="inlineStr">
        <is>
          <t>ProductService</t>
        </is>
      </c>
      <c r="D106" s="23" t="inlineStr">
        <is>
          <t>getMeasurementStatus</t>
        </is>
      </c>
      <c r="E106" s="23" t="inlineStr">
        <is>
          <t>Flux&lt;MeasurementStatusResponse&gt; getMeasurementStatus()</t>
        </is>
      </c>
      <c r="F106" s="23" t="inlineStr">
        <is>
          <t>-</t>
        </is>
      </c>
    </row>
    <row r="107">
      <c r="A107" s="23" t="inlineStr">
        <is>
          <t>Product &amp; Policy Service</t>
        </is>
      </c>
      <c r="B107" s="23" t="inlineStr">
        <is>
          <t>Service (business)</t>
        </is>
      </c>
      <c r="C107" s="23" t="inlineStr">
        <is>
          <t>ProductService</t>
        </is>
      </c>
      <c r="D107" s="23" t="inlineStr">
        <is>
          <t>getPublicMeasurementStatus</t>
        </is>
      </c>
      <c r="E107" s="23" t="inlineStr">
        <is>
          <t>Flux&lt;MeasurementStatusResponse&gt; getPublicMeasurementStatus()</t>
        </is>
      </c>
      <c r="F107" s="23" t="inlineStr">
        <is>
          <t>-</t>
        </is>
      </c>
    </row>
    <row r="108">
      <c r="A108" s="23" t="inlineStr">
        <is>
          <t>Product &amp; Policy Service</t>
        </is>
      </c>
      <c r="B108" s="23" t="inlineStr">
        <is>
          <t>Service (business)</t>
        </is>
      </c>
      <c r="C108" s="23" t="inlineStr">
        <is>
          <t>ProductService</t>
        </is>
      </c>
      <c r="D108" s="23" t="inlineStr">
        <is>
          <t>getThresholdHistory</t>
        </is>
      </c>
      <c r="E108" s="23" t="inlineStr">
        <is>
          <t>Flux&lt;ProductThresholdHistoryResponse&gt; getThresholdHistory(Long productId)</t>
        </is>
      </c>
      <c r="F108" s="23" t="inlineStr">
        <is>
          <t>-</t>
        </is>
      </c>
    </row>
    <row r="109">
      <c r="A109" s="23" t="inlineStr">
        <is>
          <t>Product &amp; Policy Service</t>
        </is>
      </c>
      <c r="B109" s="23" t="inlineStr">
        <is>
          <t>Service (business)</t>
        </is>
      </c>
      <c r="C109" s="23" t="inlineStr">
        <is>
          <t>ProductService</t>
        </is>
      </c>
      <c r="D109" s="23" t="inlineStr">
        <is>
          <t>syncTrigger</t>
        </is>
      </c>
      <c r="E109" s="23" t="inlineStr">
        <is>
          <t>Mono&lt;ProductTriggerSyncResponse&gt; syncTrigger(Long adminId,Long productId)</t>
        </is>
      </c>
      <c r="F109" s="23" t="inlineStr">
        <is>
          <t>-</t>
        </is>
      </c>
    </row>
    <row r="110">
      <c r="A110" s="23" t="inlineStr">
        <is>
          <t>Product &amp; Policy Service</t>
        </is>
      </c>
      <c r="B110" s="23" t="inlineStr">
        <is>
          <t>Service (business)</t>
        </is>
      </c>
      <c r="C110" s="23" t="inlineStr">
        <is>
          <t>ProductService</t>
        </is>
      </c>
      <c r="D110" s="23" t="inlineStr">
        <is>
          <t>getProduct</t>
        </is>
      </c>
      <c r="E110" s="23" t="inlineStr">
        <is>
          <t>Mono&lt;ProductResponse&gt; getProduct(Long productId)</t>
        </is>
      </c>
      <c r="F110" s="23" t="inlineStr">
        <is>
          <t>-</t>
        </is>
      </c>
    </row>
    <row r="111">
      <c r="A111" s="23" t="inlineStr">
        <is>
          <t>Product &amp; Policy Service</t>
        </is>
      </c>
      <c r="B111" s="23" t="inlineStr">
        <is>
          <t>Service (business)</t>
        </is>
      </c>
      <c r="C111" s="23" t="inlineStr">
        <is>
          <t>ProductService</t>
        </is>
      </c>
      <c r="D111" s="23" t="inlineStr">
        <is>
          <t>getInternalProduct</t>
        </is>
      </c>
      <c r="E111" s="23" t="inlineStr">
        <is>
          <t>Mono&lt;InternalProductResponse&gt; getInternalProduct(Long productId)</t>
        </is>
      </c>
      <c r="F111" s="23" t="inlineStr">
        <is>
          <t>-</t>
        </is>
      </c>
    </row>
    <row r="112">
      <c r="A112" s="23" t="inlineStr">
        <is>
          <t>Product &amp; Policy Service</t>
        </is>
      </c>
      <c r="B112" s="23" t="inlineStr">
        <is>
          <t>Service (business)</t>
        </is>
      </c>
      <c r="C112" s="23" t="inlineStr">
        <is>
          <t>ProductService</t>
        </is>
      </c>
      <c r="D112" s="23" t="inlineStr">
        <is>
          <t>getAllInternalProducts</t>
        </is>
      </c>
      <c r="E112" s="23" t="inlineStr">
        <is>
          <t>Flux&lt;InternalProductResponse&gt; getAllInternalProducts()</t>
        </is>
      </c>
      <c r="F112" s="23" t="inlineStr">
        <is>
          <t>-</t>
        </is>
      </c>
    </row>
    <row r="113">
      <c r="A113" s="23" t="inlineStr">
        <is>
          <t>Product &amp; Policy Service</t>
        </is>
      </c>
      <c r="B113" s="23" t="inlineStr">
        <is>
          <t>Service (business)</t>
        </is>
      </c>
      <c r="C113" s="23" t="inlineStr">
        <is>
          <t>ZoneUnderwritingService</t>
        </is>
      </c>
      <c r="D113" s="23" t="inlineStr">
        <is>
          <t>checkCanSell</t>
        </is>
      </c>
      <c r="E113" s="23" t="inlineStr">
        <is>
          <t>Mono&lt;Void&gt; checkCanSell(Long zoneId,BigDecimal sumInsured,Collection&lt;Long&gt; excludedPolicyIds)</t>
        </is>
      </c>
      <c r="F113" s="23" t="inlineStr">
        <is>
          <t>-</t>
        </is>
      </c>
    </row>
    <row r="114">
      <c r="A114" s="23" t="inlineStr">
        <is>
          <t>Product &amp; Policy Service</t>
        </is>
      </c>
      <c r="B114" s="23" t="inlineStr">
        <is>
          <t>Service (business)</t>
        </is>
      </c>
      <c r="C114" s="23" t="inlineStr">
        <is>
          <t>ZoneUnderwritingService</t>
        </is>
      </c>
      <c r="D114" s="23" t="inlineStr">
        <is>
          <t>exposureReport</t>
        </is>
      </c>
      <c r="E114" s="23" t="inlineStr">
        <is>
          <t>Mono&lt;List&lt;ZoneExposureResponse&gt;&gt; exposureReport()</t>
        </is>
      </c>
      <c r="F114" s="23" t="inlineStr">
        <is>
          <t>-</t>
        </is>
      </c>
    </row>
    <row r="115">
      <c r="A115" s="23" t="inlineStr">
        <is>
          <t>Product &amp; Policy Service</t>
        </is>
      </c>
      <c r="B115" s="23" t="inlineStr">
        <is>
          <t>Client (outbound REST)</t>
        </is>
      </c>
      <c r="C115" s="23" t="inlineStr">
        <is>
          <t>FinancialServiceClient</t>
        </is>
      </c>
      <c r="D115" s="23" t="inlineStr">
        <is>
          <t>validateQuote</t>
        </is>
      </c>
      <c r="E115" s="23" t="inlineStr">
        <is>
          <t>Mono&lt;InternalQuoteResponse&gt; validateQuote(Long quoteId, InternalQuoteValidateRequest request)</t>
        </is>
      </c>
      <c r="F115" s="23" t="inlineStr">
        <is>
          <t>-</t>
        </is>
      </c>
    </row>
    <row r="116">
      <c r="A116" s="23" t="inlineStr">
        <is>
          <t>Product &amp; Policy Service</t>
        </is>
      </c>
      <c r="B116" s="23" t="inlineStr">
        <is>
          <t>Client (outbound REST)</t>
        </is>
      </c>
      <c r="C116" s="23" t="inlineStr">
        <is>
          <t>FinancialServiceClient</t>
        </is>
      </c>
      <c r="D116" s="23" t="inlineStr">
        <is>
          <t>consumeQuote</t>
        </is>
      </c>
      <c r="E116" s="23" t="inlineStr">
        <is>
          <t>Mono&lt;InternalQuoteResponse&gt; consumeQuote(Long quoteId, InternalQuoteConsumeRequest request)</t>
        </is>
      </c>
      <c r="F116" s="23" t="inlineStr">
        <is>
          <t>-</t>
        </is>
      </c>
    </row>
    <row r="117">
      <c r="A117" s="23" t="inlineStr">
        <is>
          <t>Product &amp; Policy Service</t>
        </is>
      </c>
      <c r="B117" s="23" t="inlineStr">
        <is>
          <t>Client (outbound REST)</t>
        </is>
      </c>
      <c r="C117" s="23" t="inlineStr">
        <is>
          <t>FinancialServiceClient</t>
        </is>
      </c>
      <c r="D117" s="23" t="inlineStr">
        <is>
          <t>calculatePremium</t>
        </is>
      </c>
      <c r="E117" s="23" t="inlineStr">
        <is>
          <t>Mono&lt;java.math.BigDecimal&gt; calculatePremium(Long productId, Long locationZoneId, java.math.BigDecimal sumInsured, Integer termMonths)</t>
        </is>
      </c>
      <c r="F117" s="23" t="inlineStr">
        <is>
          <t>-</t>
        </is>
      </c>
    </row>
    <row r="118">
      <c r="A118" s="23" t="inlineStr">
        <is>
          <t>Product &amp; Policy Service</t>
        </is>
      </c>
      <c r="B118" s="23" t="inlineStr">
        <is>
          <t>Client (outbound REST)</t>
        </is>
      </c>
      <c r="C118" s="23" t="inlineStr">
        <is>
          <t>FinancialServiceClient</t>
        </is>
      </c>
      <c r="D118" s="23" t="inlineStr">
        <is>
          <t>isPremiumPaid</t>
        </is>
      </c>
      <c r="E118" s="23" t="inlineStr">
        <is>
          <t>Mono&lt;Boolean&gt; isPremiumPaid(Long policyId,String policyNumber)</t>
        </is>
      </c>
      <c r="F118" s="23" t="inlineStr">
        <is>
          <t>-</t>
        </is>
      </c>
    </row>
    <row r="119">
      <c r="A119" s="23" t="inlineStr">
        <is>
          <t>Product &amp; Policy Service</t>
        </is>
      </c>
      <c r="B119" s="23" t="inlineStr">
        <is>
          <t>Client (outbound REST)</t>
        </is>
      </c>
      <c r="C119" s="23" t="inlineStr">
        <is>
          <t>NotificationServiceClient</t>
        </is>
      </c>
      <c r="D119" s="23" t="inlineStr">
        <is>
          <t>sendNotification</t>
        </is>
      </c>
      <c r="E119" s="23" t="inlineStr">
        <is>
          <t>Mono&lt;Void&gt; sendNotification(NotificationRequest request)</t>
        </is>
      </c>
      <c r="F119" s="23" t="inlineStr">
        <is>
          <t>-</t>
        </is>
      </c>
    </row>
    <row r="120">
      <c r="A120" s="23" t="inlineStr">
        <is>
          <t>Product &amp; Policy Service</t>
        </is>
      </c>
      <c r="B120" s="23" t="inlineStr">
        <is>
          <t>Client (outbound REST)</t>
        </is>
      </c>
      <c r="C120" s="23" t="inlineStr">
        <is>
          <t>TriggerServiceClient</t>
        </is>
      </c>
      <c r="D120" s="23" t="inlineStr">
        <is>
          <t>getActiveZones</t>
        </is>
      </c>
      <c r="E120" s="23" t="inlineStr">
        <is>
          <t>Flux&lt;InternalZoneResponse&gt; getActiveZones()</t>
        </is>
      </c>
      <c r="F120" s="23" t="inlineStr">
        <is>
          <t>-</t>
        </is>
      </c>
    </row>
    <row r="121">
      <c r="A121" s="23" t="inlineStr">
        <is>
          <t>Product &amp; Policy Service</t>
        </is>
      </c>
      <c r="B121" s="23" t="inlineStr">
        <is>
          <t>Client (outbound REST)</t>
        </is>
      </c>
      <c r="C121" s="23" t="inlineStr">
        <is>
          <t>TriggerServiceClient</t>
        </is>
      </c>
      <c r="D121" s="23" t="inlineStr">
        <is>
          <t>getActiveZonesList</t>
        </is>
      </c>
      <c r="E121" s="23" t="inlineStr">
        <is>
          <t>Mono&lt;List&lt;InternalZoneResponse&gt;&gt; getActiveZonesList()</t>
        </is>
      </c>
      <c r="F121" s="23" t="inlineStr">
        <is>
          <t>-</t>
        </is>
      </c>
    </row>
    <row r="122" ht="25" customHeight="1" s="20">
      <c r="A122" s="23" t="inlineStr">
        <is>
          <t>Product &amp; Policy Service</t>
        </is>
      </c>
      <c r="B122" s="23" t="inlineStr">
        <is>
          <t>Client (outbound REST)</t>
        </is>
      </c>
      <c r="C122" s="23" t="inlineStr">
        <is>
          <t>TriggerServiceClient</t>
        </is>
      </c>
      <c r="D122" s="23" t="inlineStr">
        <is>
          <t>getZoneById</t>
        </is>
      </c>
      <c r="E122" s="23" t="inlineStr">
        <is>
          <t>Mono&lt;InternalZoneResponse&gt; getZoneById(Long zoneId)</t>
        </is>
      </c>
      <c r="F122" s="23" t="inlineStr">
        <is>
          <t>-</t>
        </is>
      </c>
    </row>
    <row r="123">
      <c r="A123" s="23" t="inlineStr">
        <is>
          <t>Product &amp; Policy Service</t>
        </is>
      </c>
      <c r="B123" s="23" t="inlineStr">
        <is>
          <t>Client (outbound REST)</t>
        </is>
      </c>
      <c r="C123" s="23" t="inlineStr">
        <is>
          <t>TriggerServiceClient</t>
        </is>
      </c>
      <c r="D123" s="23" t="inlineStr">
        <is>
          <t>getCurrentMeasurements</t>
        </is>
      </c>
      <c r="E123" s="23" t="inlineStr">
        <is>
          <t>Flux&lt;MeasurementCurrentResponse&gt; getCurrentMeasurements()</t>
        </is>
      </c>
      <c r="F123" s="23" t="inlineStr">
        <is>
          <t>-</t>
        </is>
      </c>
    </row>
    <row r="124">
      <c r="A124" s="23" t="inlineStr">
        <is>
          <t>Product &amp; Policy Service</t>
        </is>
      </c>
      <c r="B124" s="23" t="inlineStr">
        <is>
          <t>Client (outbound REST)</t>
        </is>
      </c>
      <c r="C124" s="23" t="inlineStr">
        <is>
          <t>TriggerServiceClient</t>
        </is>
      </c>
      <c r="D124" s="23" t="inlineStr">
        <is>
          <t>syncProductDefinition</t>
        </is>
      </c>
      <c r="E124" s="23" t="inlineStr">
        <is>
          <t>Mono&lt;Void&gt; syncProductDefinition(ProductTriggerSyncRequest request)</t>
        </is>
      </c>
      <c r="F124" s="23" t="inlineStr">
        <is>
          <t>-</t>
        </is>
      </c>
    </row>
    <row r="125">
      <c r="A125" s="23" t="inlineStr">
        <is>
          <t>Product &amp; Policy Service</t>
        </is>
      </c>
      <c r="B125" s="23" t="inlineStr">
        <is>
          <t>Config / Loader / Scheduler</t>
        </is>
      </c>
      <c r="C125" s="23" t="inlineStr">
        <is>
          <t>DemoPolicyDataLoader</t>
        </is>
      </c>
      <c r="D125" s="23" t="inlineStr">
        <is>
          <t>run</t>
        </is>
      </c>
      <c r="E125" s="23" t="inlineStr">
        <is>
          <t>void run(ApplicationArguments args)</t>
        </is>
      </c>
      <c r="F125" s="23" t="inlineStr">
        <is>
          <t>-</t>
        </is>
      </c>
    </row>
    <row r="126" ht="25" customHeight="1" s="20">
      <c r="A126" s="23" t="inlineStr">
        <is>
          <t>Product &amp; Policy Service</t>
        </is>
      </c>
      <c r="B126" s="23" t="inlineStr">
        <is>
          <t>Config / Loader / Scheduler</t>
        </is>
      </c>
      <c r="C126" s="23" t="inlineStr">
        <is>
          <t>ProductDataLoader</t>
        </is>
      </c>
      <c r="D126" s="23" t="inlineStr">
        <is>
          <t>run</t>
        </is>
      </c>
      <c r="E126" s="23" t="inlineStr">
        <is>
          <t>void run(ApplicationArguments args)</t>
        </is>
      </c>
      <c r="F126" s="23" t="inlineStr">
        <is>
          <t>-</t>
        </is>
      </c>
    </row>
    <row r="127">
      <c r="A127" s="23" t="inlineStr">
        <is>
          <t>Product &amp; Policy Service</t>
        </is>
      </c>
      <c r="B127" s="23" t="inlineStr">
        <is>
          <t>Config / Loader / Scheduler</t>
        </is>
      </c>
      <c r="C127" s="23" t="inlineStr">
        <is>
          <t>TriggerDescriptionGenerator</t>
        </is>
      </c>
      <c r="D127" s="23" t="inlineStr">
        <is>
          <t>buildDescription</t>
        </is>
      </c>
      <c r="E127" s="23" t="inlineStr">
        <is>
          <t>String buildDescription(String measurementType, String measurementUnit, BigDecimal thresholdValue, String comparisonOperator, String aggregationType, Integer observationWindowHours, Integer minimumObservationCount)</t>
        </is>
      </c>
      <c r="F127" s="23" t="inlineStr">
        <is>
          <t>-</t>
        </is>
      </c>
    </row>
    <row r="128">
      <c r="A128" s="23" t="inlineStr">
        <is>
          <t>Product &amp; Policy Service</t>
        </is>
      </c>
      <c r="B128" s="23" t="inlineStr">
        <is>
          <t>Config / Loader / Scheduler</t>
        </is>
      </c>
      <c r="C128" s="23" t="inlineStr">
        <is>
          <t>TriggerDescriptionGenerator</t>
        </is>
      </c>
      <c r="D128" s="23" t="inlineStr">
        <is>
          <t>toHumanReadable</t>
        </is>
      </c>
      <c r="E128" s="23" t="inlineStr">
        <is>
          <t>String toHumanReadable(String measurementType, String measurementUnit, BigDecimal thresholdValue, String comparisonOperator, String aggregationType, Integer observationWindowHours)</t>
        </is>
      </c>
      <c r="F128" s="23" t="inlineStr">
        <is>
          <t>-</t>
        </is>
      </c>
    </row>
    <row r="129">
      <c r="A129" s="23" t="inlineStr">
        <is>
          <t>Product &amp; Policy Service</t>
        </is>
      </c>
      <c r="B129" s="23" t="inlineStr">
        <is>
          <t>Config / Loader / Scheduler</t>
        </is>
      </c>
      <c r="C129" s="23" t="inlineStr">
        <is>
          <t>TriggerDescriptionGenerator</t>
        </is>
      </c>
      <c r="D129" s="23" t="inlineStr">
        <is>
          <t>unitDisplay</t>
        </is>
      </c>
      <c r="E129" s="23" t="inlineStr">
        <is>
          <t>String unitDisplay(String measurementUnit)</t>
        </is>
      </c>
      <c r="F129" s="23" t="inlineStr">
        <is>
          <t>-</t>
        </is>
      </c>
    </row>
    <row r="130">
      <c r="A130" s="23" t="inlineStr">
        <is>
          <t>Product &amp; Policy Service</t>
        </is>
      </c>
      <c r="B130" s="23" t="inlineStr">
        <is>
          <t>Scheduler</t>
        </is>
      </c>
      <c r="C130" s="23" t="inlineStr">
        <is>
          <t>PolicyExpiryScheduler</t>
        </is>
      </c>
      <c r="D130" s="23" t="inlineStr">
        <is>
          <t>expirePolicies</t>
        </is>
      </c>
      <c r="E130" s="23" t="inlineStr">
        <is>
          <t>Mono&lt;Void&gt; expirePolicies()</t>
        </is>
      </c>
      <c r="F130" s="23" t="inlineStr">
        <is>
          <t>cron="0 0 1 * * ?"</t>
        </is>
      </c>
    </row>
    <row r="131">
      <c r="A131" s="23" t="inlineStr">
        <is>
          <t>Product &amp; Policy Service</t>
        </is>
      </c>
      <c r="B131" s="23" t="inlineStr">
        <is>
          <t>Scheduler</t>
        </is>
      </c>
      <c r="C131" s="23" t="inlineStr">
        <is>
          <t>PolicyRenewalScheduler</t>
        </is>
      </c>
      <c r="D131" s="23" t="inlineStr">
        <is>
          <t>runRenewalSweep</t>
        </is>
      </c>
      <c r="E131" s="23" t="inlineStr">
        <is>
          <t>void runRenewalSweep()</t>
        </is>
      </c>
      <c r="F131" s="23" t="inlineStr">
        <is>
          <t>cron="0 30 1 * * ?"</t>
        </is>
      </c>
    </row>
    <row r="132">
      <c r="A132" s="23" t="inlineStr">
        <is>
          <t>Claims Service</t>
        </is>
      </c>
      <c r="B132" s="23" t="inlineStr">
        <is>
          <t>Handler (HTTP)</t>
        </is>
      </c>
      <c r="C132" s="23" t="inlineStr">
        <is>
          <t>ClaimDocumentHandler</t>
        </is>
      </c>
      <c r="D132" s="23" t="inlineStr">
        <is>
          <t>upload</t>
        </is>
      </c>
      <c r="E132" s="23" t="inlineStr">
        <is>
          <t>Mono&lt;ServerResponse&gt; upload(ServerRequest request)</t>
        </is>
      </c>
      <c r="F132" s="23" t="inlineStr">
        <is>
          <t>-</t>
        </is>
      </c>
    </row>
    <row r="133">
      <c r="A133" s="23" t="inlineStr">
        <is>
          <t>Claims Service</t>
        </is>
      </c>
      <c r="B133" s="23" t="inlineStr">
        <is>
          <t>Handler (HTTP)</t>
        </is>
      </c>
      <c r="C133" s="23" t="inlineStr">
        <is>
          <t>ClaimDocumentHandler</t>
        </is>
      </c>
      <c r="D133" s="23" t="inlineStr">
        <is>
          <t>listMine</t>
        </is>
      </c>
      <c r="E133" s="23" t="inlineStr">
        <is>
          <t>Mono&lt;ServerResponse&gt; listMine(ServerRequest request)</t>
        </is>
      </c>
      <c r="F133" s="23" t="inlineStr">
        <is>
          <t>-</t>
        </is>
      </c>
    </row>
    <row r="134">
      <c r="A134" s="23" t="inlineStr">
        <is>
          <t>Claims Service</t>
        </is>
      </c>
      <c r="B134" s="23" t="inlineStr">
        <is>
          <t>Handler (HTTP)</t>
        </is>
      </c>
      <c r="C134" s="23" t="inlineStr">
        <is>
          <t>ClaimDocumentHandler</t>
        </is>
      </c>
      <c r="D134" s="23" t="inlineStr">
        <is>
          <t>downloadMine</t>
        </is>
      </c>
      <c r="E134" s="23" t="inlineStr">
        <is>
          <t>Mono&lt;ServerResponse&gt; downloadMine(ServerRequest request)</t>
        </is>
      </c>
      <c r="F134" s="23" t="inlineStr">
        <is>
          <t>-</t>
        </is>
      </c>
    </row>
    <row r="135">
      <c r="A135" s="23" t="inlineStr">
        <is>
          <t>Claims Service</t>
        </is>
      </c>
      <c r="B135" s="23" t="inlineStr">
        <is>
          <t>Handler (HTTP)</t>
        </is>
      </c>
      <c r="C135" s="23" t="inlineStr">
        <is>
          <t>ClaimDocumentHandler</t>
        </is>
      </c>
      <c r="D135" s="23" t="inlineStr">
        <is>
          <t>listForReview</t>
        </is>
      </c>
      <c r="E135" s="23" t="inlineStr">
        <is>
          <t>Mono&lt;ServerResponse&gt; listForReview(ServerRequest request)</t>
        </is>
      </c>
      <c r="F135" s="23" t="inlineStr">
        <is>
          <t>-</t>
        </is>
      </c>
    </row>
    <row r="136">
      <c r="A136" s="23" t="inlineStr">
        <is>
          <t>Claims Service</t>
        </is>
      </c>
      <c r="B136" s="23" t="inlineStr">
        <is>
          <t>Handler (HTTP)</t>
        </is>
      </c>
      <c r="C136" s="23" t="inlineStr">
        <is>
          <t>ClaimDocumentHandler</t>
        </is>
      </c>
      <c r="D136" s="23" t="inlineStr">
        <is>
          <t>downloadForReview</t>
        </is>
      </c>
      <c r="E136" s="23" t="inlineStr">
        <is>
          <t>Mono&lt;ServerResponse&gt; downloadForReview(ServerRequest request)</t>
        </is>
      </c>
      <c r="F136" s="23" t="inlineStr">
        <is>
          <t>-</t>
        </is>
      </c>
    </row>
    <row r="137">
      <c r="A137" s="23" t="inlineStr">
        <is>
          <t>Claims Service</t>
        </is>
      </c>
      <c r="B137" s="23" t="inlineStr">
        <is>
          <t>Handler (HTTP)</t>
        </is>
      </c>
      <c r="C137" s="23" t="inlineStr">
        <is>
          <t>ClaimHandler</t>
        </is>
      </c>
      <c r="D137" s="23" t="inlineStr">
        <is>
          <t>createClaim</t>
        </is>
      </c>
      <c r="E137" s="23" t="inlineStr">
        <is>
          <t>Mono&lt;ServerResponse&gt; createClaim(ServerRequest request)</t>
        </is>
      </c>
      <c r="F137" s="23" t="inlineStr">
        <is>
          <t>-</t>
        </is>
      </c>
    </row>
    <row r="138">
      <c r="A138" s="23" t="inlineStr">
        <is>
          <t>Claims Service</t>
        </is>
      </c>
      <c r="B138" s="23" t="inlineStr">
        <is>
          <t>Handler (HTTP)</t>
        </is>
      </c>
      <c r="C138" s="23" t="inlineStr">
        <is>
          <t>ClaimHandler</t>
        </is>
      </c>
      <c r="D138" s="23" t="inlineStr">
        <is>
          <t>getMyClaims</t>
        </is>
      </c>
      <c r="E138" s="23" t="inlineStr">
        <is>
          <t>Mono&lt;ServerResponse&gt; getMyClaims(ServerRequest request)</t>
        </is>
      </c>
      <c r="F138" s="23" t="inlineStr">
        <is>
          <t>-</t>
        </is>
      </c>
    </row>
    <row r="139" ht="25" customHeight="1" s="20">
      <c r="A139" s="23" t="inlineStr">
        <is>
          <t>Claims Service</t>
        </is>
      </c>
      <c r="B139" s="23" t="inlineStr">
        <is>
          <t>Handler (HTTP)</t>
        </is>
      </c>
      <c r="C139" s="23" t="inlineStr">
        <is>
          <t>ClaimHandler</t>
        </is>
      </c>
      <c r="D139" s="23" t="inlineStr">
        <is>
          <t>getMyClaim</t>
        </is>
      </c>
      <c r="E139" s="23" t="inlineStr">
        <is>
          <t>Mono&lt;ServerResponse&gt; getMyClaim(ServerRequest request)</t>
        </is>
      </c>
      <c r="F139" s="23" t="inlineStr">
        <is>
          <t>-</t>
        </is>
      </c>
    </row>
    <row r="140">
      <c r="A140" s="23" t="inlineStr">
        <is>
          <t>Claims Service</t>
        </is>
      </c>
      <c r="B140" s="23" t="inlineStr">
        <is>
          <t>Handler (HTTP)</t>
        </is>
      </c>
      <c r="C140" s="23" t="inlineStr">
        <is>
          <t>ClaimHandler</t>
        </is>
      </c>
      <c r="D140" s="23" t="inlineStr">
        <is>
          <t>cancelClaim</t>
        </is>
      </c>
      <c r="E140" s="23" t="inlineStr">
        <is>
          <t>Mono&lt;ServerResponse&gt; cancelClaim(ServerRequest request)</t>
        </is>
      </c>
      <c r="F140" s="23" t="inlineStr">
        <is>
          <t>-</t>
        </is>
      </c>
    </row>
    <row r="141">
      <c r="A141" s="23" t="inlineStr">
        <is>
          <t>Claims Service</t>
        </is>
      </c>
      <c r="B141" s="23" t="inlineStr">
        <is>
          <t>Handler (HTTP)</t>
        </is>
      </c>
      <c r="C141" s="23" t="inlineStr">
        <is>
          <t>ClaimHandler</t>
        </is>
      </c>
      <c r="D141" s="23" t="inlineStr">
        <is>
          <t>getReviewHistory</t>
        </is>
      </c>
      <c r="E141" s="23" t="inlineStr">
        <is>
          <t>Mono&lt;ServerResponse&gt; getReviewHistory(ServerRequest request)</t>
        </is>
      </c>
      <c r="F141" s="23" t="inlineStr">
        <is>
          <t>-</t>
        </is>
      </c>
    </row>
    <row r="142">
      <c r="A142" s="23" t="inlineStr">
        <is>
          <t>Claims Service</t>
        </is>
      </c>
      <c r="B142" s="23" t="inlineStr">
        <is>
          <t>Handler (HTTP)</t>
        </is>
      </c>
      <c r="C142" s="23" t="inlineStr">
        <is>
          <t>ClaimHandler</t>
        </is>
      </c>
      <c r="D142" s="23" t="inlineStr">
        <is>
          <t>getSubmittedClaims</t>
        </is>
      </c>
      <c r="E142" s="23" t="inlineStr">
        <is>
          <t>Mono&lt;ServerResponse&gt; getSubmittedClaims(ServerRequest request)</t>
        </is>
      </c>
      <c r="F142" s="23" t="inlineStr">
        <is>
          <t>-</t>
        </is>
      </c>
    </row>
    <row r="143">
      <c r="A143" s="23" t="inlineStr">
        <is>
          <t>Claims Service</t>
        </is>
      </c>
      <c r="B143" s="23" t="inlineStr">
        <is>
          <t>Handler (HTTP)</t>
        </is>
      </c>
      <c r="C143" s="23" t="inlineStr">
        <is>
          <t>ClaimHandler</t>
        </is>
      </c>
      <c r="D143" s="23" t="inlineStr">
        <is>
          <t>getManualClaims</t>
        </is>
      </c>
      <c r="E143" s="23" t="inlineStr">
        <is>
          <t>Mono&lt;ServerResponse&gt; getManualClaims(ServerRequest request)</t>
        </is>
      </c>
      <c r="F143" s="23" t="inlineStr">
        <is>
          <t>-</t>
        </is>
      </c>
    </row>
    <row r="144">
      <c r="A144" s="23" t="inlineStr">
        <is>
          <t>Claims Service</t>
        </is>
      </c>
      <c r="B144" s="23" t="inlineStr">
        <is>
          <t>Handler (HTTP)</t>
        </is>
      </c>
      <c r="C144" s="23" t="inlineStr">
        <is>
          <t>ClaimHandler</t>
        </is>
      </c>
      <c r="D144" s="23" t="inlineStr">
        <is>
          <t>getManualClaim</t>
        </is>
      </c>
      <c r="E144" s="23" t="inlineStr">
        <is>
          <t>Mono&lt;ServerResponse&gt; getManualClaim(ServerRequest request)</t>
        </is>
      </c>
      <c r="F144" s="23" t="inlineStr">
        <is>
          <t>-</t>
        </is>
      </c>
    </row>
    <row r="145">
      <c r="A145" s="23" t="inlineStr">
        <is>
          <t>Claims Service</t>
        </is>
      </c>
      <c r="B145" s="23" t="inlineStr">
        <is>
          <t>Handler (HTTP)</t>
        </is>
      </c>
      <c r="C145" s="23" t="inlineStr">
        <is>
          <t>ClaimHandler</t>
        </is>
      </c>
      <c r="D145" s="23" t="inlineStr">
        <is>
          <t>getAllClaims</t>
        </is>
      </c>
      <c r="E145" s="23" t="inlineStr">
        <is>
          <t>Mono&lt;ServerResponse&gt; getAllClaims(ServerRequest request)</t>
        </is>
      </c>
      <c r="F145" s="23" t="inlineStr">
        <is>
          <t>-</t>
        </is>
      </c>
    </row>
    <row r="146">
      <c r="A146" s="23" t="inlineStr">
        <is>
          <t>Claims Service</t>
        </is>
      </c>
      <c r="B146" s="23" t="inlineStr">
        <is>
          <t>Handler (HTTP)</t>
        </is>
      </c>
      <c r="C146" s="23" t="inlineStr">
        <is>
          <t>ClaimHandler</t>
        </is>
      </c>
      <c r="D146" s="23" t="inlineStr">
        <is>
          <t>getClaim</t>
        </is>
      </c>
      <c r="E146" s="23" t="inlineStr">
        <is>
          <t>Mono&lt;ServerResponse&gt; getClaim(ServerRequest request)</t>
        </is>
      </c>
      <c r="F146" s="23" t="inlineStr">
        <is>
          <t>-</t>
        </is>
      </c>
    </row>
    <row r="147" ht="25" customHeight="1" s="20">
      <c r="A147" s="23" t="inlineStr">
        <is>
          <t>Claims Service</t>
        </is>
      </c>
      <c r="B147" s="23" t="inlineStr">
        <is>
          <t>Handler (HTTP)</t>
        </is>
      </c>
      <c r="C147" s="23" t="inlineStr">
        <is>
          <t>ClaimHandler</t>
        </is>
      </c>
      <c r="D147" s="23" t="inlineStr">
        <is>
          <t>getInternalClaim</t>
        </is>
      </c>
      <c r="E147" s="23" t="inlineStr">
        <is>
          <t>Mono&lt;ServerResponse&gt; getInternalClaim(ServerRequest request)</t>
        </is>
      </c>
      <c r="F147" s="23" t="inlineStr">
        <is>
          <t>-</t>
        </is>
      </c>
    </row>
    <row r="148" ht="25" customHeight="1" s="20">
      <c r="A148" s="23" t="inlineStr">
        <is>
          <t>Claims Service</t>
        </is>
      </c>
      <c r="B148" s="23" t="inlineStr">
        <is>
          <t>Handler (HTTP)</t>
        </is>
      </c>
      <c r="C148" s="23" t="inlineStr">
        <is>
          <t>ClaimHandler</t>
        </is>
      </c>
      <c r="D148" s="23" t="inlineStr">
        <is>
          <t>createClaimsFromTriggerEvent</t>
        </is>
      </c>
      <c r="E148" s="23" t="inlineStr">
        <is>
          <t>Mono&lt;ServerResponse&gt; createClaimsFromTriggerEvent(ServerRequest request)</t>
        </is>
      </c>
      <c r="F148" s="23" t="inlineStr">
        <is>
          <t>-</t>
        </is>
      </c>
    </row>
    <row r="149" ht="25" customHeight="1" s="20">
      <c r="A149" s="23" t="inlineStr">
        <is>
          <t>Claims Service</t>
        </is>
      </c>
      <c r="B149" s="23" t="inlineStr">
        <is>
          <t>Handler (HTTP)</t>
        </is>
      </c>
      <c r="C149" s="23" t="inlineStr">
        <is>
          <t>ClaimHandler</t>
        </is>
      </c>
      <c r="D149" s="23" t="inlineStr">
        <is>
          <t>startReview</t>
        </is>
      </c>
      <c r="E149" s="23" t="inlineStr">
        <is>
          <t>Mono&lt;ServerResponse&gt; startReview(ServerRequest request)</t>
        </is>
      </c>
      <c r="F149" s="23" t="inlineStr">
        <is>
          <t>-</t>
        </is>
      </c>
    </row>
    <row r="150" ht="25" customHeight="1" s="20">
      <c r="A150" s="23" t="inlineStr">
        <is>
          <t>Claims Service</t>
        </is>
      </c>
      <c r="B150" s="23" t="inlineStr">
        <is>
          <t>Handler (HTTP)</t>
        </is>
      </c>
      <c r="C150" s="23" t="inlineStr">
        <is>
          <t>ClaimHandler</t>
        </is>
      </c>
      <c r="D150" s="23" t="inlineStr">
        <is>
          <t>approveClaim</t>
        </is>
      </c>
      <c r="E150" s="23" t="inlineStr">
        <is>
          <t>Mono&lt;ServerResponse&gt; approveClaim(ServerRequest request)</t>
        </is>
      </c>
      <c r="F150" s="23" t="inlineStr">
        <is>
          <t>-</t>
        </is>
      </c>
    </row>
    <row r="151">
      <c r="A151" s="23" t="inlineStr">
        <is>
          <t>Claims Service</t>
        </is>
      </c>
      <c r="B151" s="23" t="inlineStr">
        <is>
          <t>Handler (HTTP)</t>
        </is>
      </c>
      <c r="C151" s="23" t="inlineStr">
        <is>
          <t>ClaimHandler</t>
        </is>
      </c>
      <c r="D151" s="23" t="inlineStr">
        <is>
          <t>rejectClaim</t>
        </is>
      </c>
      <c r="E151" s="23" t="inlineStr">
        <is>
          <t>Mono&lt;ServerResponse&gt; rejectClaim(ServerRequest request)</t>
        </is>
      </c>
      <c r="F151" s="23" t="inlineStr">
        <is>
          <t>-</t>
        </is>
      </c>
    </row>
    <row r="152">
      <c r="A152" s="23" t="inlineStr">
        <is>
          <t>Claims Service</t>
        </is>
      </c>
      <c r="B152" s="23" t="inlineStr">
        <is>
          <t>Handler (HTTP)</t>
        </is>
      </c>
      <c r="C152" s="23" t="inlineStr">
        <is>
          <t>ClaimHandler</t>
        </is>
      </c>
      <c r="D152" s="23" t="inlineStr">
        <is>
          <t>settleClaim</t>
        </is>
      </c>
      <c r="E152" s="23" t="inlineStr">
        <is>
          <t>Mono&lt;ServerResponse&gt; settleClaim(ServerRequest request)</t>
        </is>
      </c>
      <c r="F152" s="23" t="inlineStr">
        <is>
          <t>-</t>
        </is>
      </c>
    </row>
    <row r="153">
      <c r="A153" s="23" t="inlineStr">
        <is>
          <t>Claims Service</t>
        </is>
      </c>
      <c r="B153" s="23" t="inlineStr">
        <is>
          <t>Handler (HTTP)</t>
        </is>
      </c>
      <c r="C153" s="23" t="inlineStr">
        <is>
          <t>ClaimHandler</t>
        </is>
      </c>
      <c r="D153" s="23" t="inlineStr">
        <is>
          <t>settleInternal</t>
        </is>
      </c>
      <c r="E153" s="23" t="inlineStr">
        <is>
          <t>Mono&lt;ServerResponse&gt; settleInternal(ServerRequest request)</t>
        </is>
      </c>
      <c r="F153" s="23" t="inlineStr">
        <is>
          <t>-</t>
        </is>
      </c>
    </row>
    <row r="154">
      <c r="A154" s="23" t="inlineStr">
        <is>
          <t>Claims Service</t>
        </is>
      </c>
      <c r="B154" s="23" t="inlineStr">
        <is>
          <t>Handler (HTTP)</t>
        </is>
      </c>
      <c r="C154" s="23" t="inlineStr">
        <is>
          <t>ClaimHandler</t>
        </is>
      </c>
      <c r="D154" s="23" t="inlineStr">
        <is>
          <t>getMyClaimTimeline</t>
        </is>
      </c>
      <c r="E154" s="23" t="inlineStr">
        <is>
          <t>Mono&lt;ServerResponse&gt; getMyClaimTimeline(ServerRequest request)</t>
        </is>
      </c>
      <c r="F154" s="23" t="inlineStr">
        <is>
          <t>-</t>
        </is>
      </c>
    </row>
    <row r="155">
      <c r="A155" s="23" t="inlineStr">
        <is>
          <t>Claims Service</t>
        </is>
      </c>
      <c r="B155" s="23" t="inlineStr">
        <is>
          <t>Handler (HTTP)</t>
        </is>
      </c>
      <c r="C155" s="23" t="inlineStr">
        <is>
          <t>ClaimHandler</t>
        </is>
      </c>
      <c r="D155" s="23" t="inlineStr">
        <is>
          <t>getClaimTimeline</t>
        </is>
      </c>
      <c r="E155" s="23" t="inlineStr">
        <is>
          <t>Mono&lt;ServerResponse&gt; getClaimTimeline(ServerRequest request)</t>
        </is>
      </c>
      <c r="F155" s="23" t="inlineStr">
        <is>
          <t>-</t>
        </is>
      </c>
    </row>
    <row r="156">
      <c r="A156" s="23" t="inlineStr">
        <is>
          <t>Claims Service</t>
        </is>
      </c>
      <c r="B156" s="23" t="inlineStr">
        <is>
          <t>Service (business)</t>
        </is>
      </c>
      <c r="C156" s="23" t="inlineStr">
        <is>
          <t>ClaimDocumentService</t>
        </is>
      </c>
      <c r="D156" s="23" t="inlineStr">
        <is>
          <t>upload</t>
        </is>
      </c>
      <c r="E156" s="23" t="inlineStr">
        <is>
          <t>Mono&lt;List&lt;ClaimDocumentResponse&gt;&gt; upload(Long customerId, Long claimId, List&lt;FilePart&gt; files)</t>
        </is>
      </c>
      <c r="F156" s="23" t="inlineStr">
        <is>
          <t>-</t>
        </is>
      </c>
    </row>
    <row r="157">
      <c r="A157" s="23" t="inlineStr">
        <is>
          <t>Claims Service</t>
        </is>
      </c>
      <c r="B157" s="23" t="inlineStr">
        <is>
          <t>Service (business)</t>
        </is>
      </c>
      <c r="C157" s="23" t="inlineStr">
        <is>
          <t>ClaimDocumentService</t>
        </is>
      </c>
      <c r="D157" s="23" t="inlineStr">
        <is>
          <t>listForCustomer</t>
        </is>
      </c>
      <c r="E157" s="23" t="inlineStr">
        <is>
          <t>Flux&lt;ClaimDocumentResponse&gt; listForCustomer(Long customerId,Long claimId)</t>
        </is>
      </c>
      <c r="F157" s="23" t="inlineStr">
        <is>
          <t>-</t>
        </is>
      </c>
    </row>
    <row r="158">
      <c r="A158" s="23" t="inlineStr">
        <is>
          <t>Claims Service</t>
        </is>
      </c>
      <c r="B158" s="23" t="inlineStr">
        <is>
          <t>Service (business)</t>
        </is>
      </c>
      <c r="C158" s="23" t="inlineStr">
        <is>
          <t>ClaimDocumentService</t>
        </is>
      </c>
      <c r="D158" s="23" t="inlineStr">
        <is>
          <t>listForStaff</t>
        </is>
      </c>
      <c r="E158" s="23" t="inlineStr">
        <is>
          <t>Flux&lt;ClaimDocumentResponse&gt; listForStaff(Long claimId)</t>
        </is>
      </c>
      <c r="F158" s="23" t="inlineStr">
        <is>
          <t>-</t>
        </is>
      </c>
    </row>
    <row r="159">
      <c r="A159" s="23" t="inlineStr">
        <is>
          <t>Claims Service</t>
        </is>
      </c>
      <c r="B159" s="23" t="inlineStr">
        <is>
          <t>Service (business)</t>
        </is>
      </c>
      <c r="C159" s="23" t="inlineStr">
        <is>
          <t>ClaimDocumentService</t>
        </is>
      </c>
      <c r="D159" s="23" t="inlineStr">
        <is>
          <t>downloadForCustomer</t>
        </is>
      </c>
      <c r="E159" s="23" t="inlineStr">
        <is>
          <t>Mono&lt;DocumentContent&gt; downloadForCustomer(Long customerId,Long claimId,Long documentId)</t>
        </is>
      </c>
      <c r="F159" s="23" t="inlineStr">
        <is>
          <t>-</t>
        </is>
      </c>
    </row>
    <row r="160">
      <c r="A160" s="23" t="inlineStr">
        <is>
          <t>Claims Service</t>
        </is>
      </c>
      <c r="B160" s="23" t="inlineStr">
        <is>
          <t>Service (business)</t>
        </is>
      </c>
      <c r="C160" s="23" t="inlineStr">
        <is>
          <t>ClaimDocumentService</t>
        </is>
      </c>
      <c r="D160" s="23" t="inlineStr">
        <is>
          <t>downloadForStaff</t>
        </is>
      </c>
      <c r="E160" s="23" t="inlineStr">
        <is>
          <t>Mono&lt;DocumentContent&gt; downloadForStaff(Long claimId,Long documentId)</t>
        </is>
      </c>
      <c r="F160" s="23" t="inlineStr">
        <is>
          <t>-</t>
        </is>
      </c>
    </row>
    <row r="161">
      <c r="A161" s="23" t="inlineStr">
        <is>
          <t>Claims Service</t>
        </is>
      </c>
      <c r="B161" s="23" t="inlineStr">
        <is>
          <t>Service (business)</t>
        </is>
      </c>
      <c r="C161" s="23" t="inlineStr">
        <is>
          <t>ClaimService</t>
        </is>
      </c>
      <c r="D161" s="23" t="inlineStr">
        <is>
          <t>createClaim</t>
        </is>
      </c>
      <c r="E161" s="23" t="inlineStr">
        <is>
          <t>Mono&lt;ClaimResponse&gt; createClaim(Long customerId,CreateClaimRequest request)</t>
        </is>
      </c>
      <c r="F161" s="23" t="inlineStr">
        <is>
          <t>-</t>
        </is>
      </c>
    </row>
    <row r="162">
      <c r="A162" s="23" t="inlineStr">
        <is>
          <t>Claims Service</t>
        </is>
      </c>
      <c r="B162" s="23" t="inlineStr">
        <is>
          <t>Service (business)</t>
        </is>
      </c>
      <c r="C162" s="23" t="inlineStr">
        <is>
          <t>ClaimService</t>
        </is>
      </c>
      <c r="D162" s="23" t="inlineStr">
        <is>
          <t>getMyClaims</t>
        </is>
      </c>
      <c r="E162" s="23" t="inlineStr">
        <is>
          <t>Flux&lt;ClaimResponse&gt; getMyClaims(Long customerId,String status)</t>
        </is>
      </c>
      <c r="F162" s="23" t="inlineStr">
        <is>
          <t>-</t>
        </is>
      </c>
    </row>
    <row r="163">
      <c r="A163" s="23" t="inlineStr">
        <is>
          <t>Claims Service</t>
        </is>
      </c>
      <c r="B163" s="23" t="inlineStr">
        <is>
          <t>Service (business)</t>
        </is>
      </c>
      <c r="C163" s="23" t="inlineStr">
        <is>
          <t>ClaimService</t>
        </is>
      </c>
      <c r="D163" s="23" t="inlineStr">
        <is>
          <t>getMyClaim</t>
        </is>
      </c>
      <c r="E163" s="23" t="inlineStr">
        <is>
          <t>Mono&lt;ClaimResponse&gt; getMyClaim(Long customerId,Long claimId)</t>
        </is>
      </c>
      <c r="F163" s="23" t="inlineStr">
        <is>
          <t>-</t>
        </is>
      </c>
    </row>
    <row r="164">
      <c r="A164" s="23" t="inlineStr">
        <is>
          <t>Claims Service</t>
        </is>
      </c>
      <c r="B164" s="23" t="inlineStr">
        <is>
          <t>Service (business)</t>
        </is>
      </c>
      <c r="C164" s="23" t="inlineStr">
        <is>
          <t>ClaimService</t>
        </is>
      </c>
      <c r="D164" s="23" t="inlineStr">
        <is>
          <t>cancelClaim</t>
        </is>
      </c>
      <c r="E164" s="23" t="inlineStr">
        <is>
          <t>Mono&lt;MessageResponse&gt; cancelClaim(Long customerId,Long claimId)</t>
        </is>
      </c>
      <c r="F164" s="23" t="inlineStr">
        <is>
          <t>-</t>
        </is>
      </c>
    </row>
    <row r="165">
      <c r="A165" s="23" t="inlineStr">
        <is>
          <t>Claims Service</t>
        </is>
      </c>
      <c r="B165" s="23" t="inlineStr">
        <is>
          <t>Service (business)</t>
        </is>
      </c>
      <c r="C165" s="23" t="inlineStr">
        <is>
          <t>ClaimService</t>
        </is>
      </c>
      <c r="D165" s="23" t="inlineStr">
        <is>
          <t>getReviewHistory</t>
        </is>
      </c>
      <c r="E165" s="23" t="inlineStr">
        <is>
          <t>Flux&lt;org.example.claimsservice.dto.ClaimReviewHistoryResponse&gt; getReviewHistory(Long officerId)</t>
        </is>
      </c>
      <c r="F165" s="23" t="inlineStr">
        <is>
          <t>-</t>
        </is>
      </c>
    </row>
    <row r="166">
      <c r="A166" s="23" t="inlineStr">
        <is>
          <t>Claims Service</t>
        </is>
      </c>
      <c r="B166" s="23" t="inlineStr">
        <is>
          <t>Service (business)</t>
        </is>
      </c>
      <c r="C166" s="23" t="inlineStr">
        <is>
          <t>ClaimService</t>
        </is>
      </c>
      <c r="D166" s="23" t="inlineStr">
        <is>
          <t>getSubmittedClaims</t>
        </is>
      </c>
      <c r="E166" s="23" t="inlineStr">
        <is>
          <t>Flux&lt;ClaimResponse&gt; getSubmittedClaims()</t>
        </is>
      </c>
      <c r="F166" s="23" t="inlineStr">
        <is>
          <t>-</t>
        </is>
      </c>
    </row>
    <row r="167">
      <c r="A167" s="23" t="inlineStr">
        <is>
          <t>Claims Service</t>
        </is>
      </c>
      <c r="B167" s="23" t="inlineStr">
        <is>
          <t>Service (business)</t>
        </is>
      </c>
      <c r="C167" s="23" t="inlineStr">
        <is>
          <t>ClaimService</t>
        </is>
      </c>
      <c r="D167" s="23" t="inlineStr">
        <is>
          <t>getManualClaims</t>
        </is>
      </c>
      <c r="E167" s="23" t="inlineStr">
        <is>
          <t>Flux&lt;ClaimResponse&gt; getManualClaims()</t>
        </is>
      </c>
      <c r="F167" s="23" t="inlineStr">
        <is>
          <t>-</t>
        </is>
      </c>
    </row>
    <row r="168">
      <c r="A168" s="23" t="inlineStr">
        <is>
          <t>Claims Service</t>
        </is>
      </c>
      <c r="B168" s="23" t="inlineStr">
        <is>
          <t>Service (business)</t>
        </is>
      </c>
      <c r="C168" s="23" t="inlineStr">
        <is>
          <t>ClaimService</t>
        </is>
      </c>
      <c r="D168" s="23" t="inlineStr">
        <is>
          <t>getManualClaim</t>
        </is>
      </c>
      <c r="E168" s="23" t="inlineStr">
        <is>
          <t>Mono&lt;ClaimResponse&gt; getManualClaim(Long claimId)</t>
        </is>
      </c>
      <c r="F168" s="23" t="inlineStr">
        <is>
          <t>-</t>
        </is>
      </c>
    </row>
    <row r="169">
      <c r="A169" s="23" t="inlineStr">
        <is>
          <t>Claims Service</t>
        </is>
      </c>
      <c r="B169" s="23" t="inlineStr">
        <is>
          <t>Service (business)</t>
        </is>
      </c>
      <c r="C169" s="23" t="inlineStr">
        <is>
          <t>ClaimService</t>
        </is>
      </c>
      <c r="D169" s="23" t="inlineStr">
        <is>
          <t>getAllClaims</t>
        </is>
      </c>
      <c r="E169" s="23" t="inlineStr">
        <is>
          <t>Flux&lt;ClaimResponse&gt; getAllClaims(String status,Long customerId)</t>
        </is>
      </c>
      <c r="F169" s="23" t="inlineStr">
        <is>
          <t>-</t>
        </is>
      </c>
    </row>
    <row r="170">
      <c r="A170" s="23" t="inlineStr">
        <is>
          <t>Claims Service</t>
        </is>
      </c>
      <c r="B170" s="23" t="inlineStr">
        <is>
          <t>Service (business)</t>
        </is>
      </c>
      <c r="C170" s="23" t="inlineStr">
        <is>
          <t>ClaimService</t>
        </is>
      </c>
      <c r="D170" s="23" t="inlineStr">
        <is>
          <t>getClaim</t>
        </is>
      </c>
      <c r="E170" s="23" t="inlineStr">
        <is>
          <t>Mono&lt;ClaimResponse&gt; getClaim(Long claimId)</t>
        </is>
      </c>
      <c r="F170" s="23" t="inlineStr">
        <is>
          <t>-</t>
        </is>
      </c>
    </row>
    <row r="171">
      <c r="A171" s="23" t="inlineStr">
        <is>
          <t>Claims Service</t>
        </is>
      </c>
      <c r="B171" s="23" t="inlineStr">
        <is>
          <t>Service (business)</t>
        </is>
      </c>
      <c r="C171" s="23" t="inlineStr">
        <is>
          <t>ClaimService</t>
        </is>
      </c>
      <c r="D171" s="23" t="inlineStr">
        <is>
          <t>getInternalClaim</t>
        </is>
      </c>
      <c r="E171" s="23" t="inlineStr">
        <is>
          <t>Mono&lt;InternalClaimResponse&gt; getInternalClaim(Long claimId)</t>
        </is>
      </c>
      <c r="F171" s="23" t="inlineStr">
        <is>
          <t>-</t>
        </is>
      </c>
    </row>
    <row r="172">
      <c r="A172" s="23" t="inlineStr">
        <is>
          <t>Claims Service</t>
        </is>
      </c>
      <c r="B172" s="23" t="inlineStr">
        <is>
          <t>Service (business)</t>
        </is>
      </c>
      <c r="C172" s="23" t="inlineStr">
        <is>
          <t>ClaimService</t>
        </is>
      </c>
      <c r="D172" s="23" t="inlineStr">
        <is>
          <t>createClaimsFromTriggerEvent</t>
        </is>
      </c>
      <c r="E172" s="23" t="inlineStr">
        <is>
          <t>Mono&lt;org.example.claimsservice.dto.ClaimCreationResponse&gt; createClaimsFromTriggerEvent(org.example.claimsservice.dto.ClaimCreationRequest request)</t>
        </is>
      </c>
      <c r="F172" s="23" t="inlineStr">
        <is>
          <t>-</t>
        </is>
      </c>
    </row>
    <row r="173">
      <c r="A173" s="23" t="inlineStr">
        <is>
          <t>Claims Service</t>
        </is>
      </c>
      <c r="B173" s="23" t="inlineStr">
        <is>
          <t>Service (business)</t>
        </is>
      </c>
      <c r="C173" s="23" t="inlineStr">
        <is>
          <t>ClaimService</t>
        </is>
      </c>
      <c r="D173" s="23" t="inlineStr">
        <is>
          <t>startReview</t>
        </is>
      </c>
      <c r="E173" s="23" t="inlineStr">
        <is>
          <t>Mono&lt;ClaimResponse&gt; startReview(Long reviewerId,Long claimId)</t>
        </is>
      </c>
      <c r="F173" s="23" t="inlineStr">
        <is>
          <t>-</t>
        </is>
      </c>
    </row>
    <row r="174">
      <c r="A174" s="23" t="inlineStr">
        <is>
          <t>Claims Service</t>
        </is>
      </c>
      <c r="B174" s="23" t="inlineStr">
        <is>
          <t>Service (business)</t>
        </is>
      </c>
      <c r="C174" s="23" t="inlineStr">
        <is>
          <t>ClaimService</t>
        </is>
      </c>
      <c r="D174" s="23" t="inlineStr">
        <is>
          <t>approveClaim</t>
        </is>
      </c>
      <c r="E174" s="23" t="inlineStr">
        <is>
          <t>Mono&lt;ClaimResponse&gt; approveClaim(Long reviewerId, Long claimId, ApproveClaimRequest request)</t>
        </is>
      </c>
      <c r="F174" s="23" t="inlineStr">
        <is>
          <t>-</t>
        </is>
      </c>
    </row>
    <row r="175">
      <c r="A175" s="23" t="inlineStr">
        <is>
          <t>Claims Service</t>
        </is>
      </c>
      <c r="B175" s="23" t="inlineStr">
        <is>
          <t>Service (business)</t>
        </is>
      </c>
      <c r="C175" s="23" t="inlineStr">
        <is>
          <t>ClaimService</t>
        </is>
      </c>
      <c r="D175" s="23" t="inlineStr">
        <is>
          <t>requestPayout</t>
        </is>
      </c>
      <c r="E175" s="23" t="inlineStr">
        <is>
          <t>Mono&lt;Void&gt; requestPayout(Long claimId)</t>
        </is>
      </c>
      <c r="F175" s="23" t="inlineStr">
        <is>
          <t>-</t>
        </is>
      </c>
    </row>
    <row r="176">
      <c r="A176" s="23" t="inlineStr">
        <is>
          <t>Claims Service</t>
        </is>
      </c>
      <c r="B176" s="23" t="inlineStr">
        <is>
          <t>Service (business)</t>
        </is>
      </c>
      <c r="C176" s="23" t="inlineStr">
        <is>
          <t>ClaimService</t>
        </is>
      </c>
      <c r="D176" s="23" t="inlineStr">
        <is>
          <t>rejectClaim</t>
        </is>
      </c>
      <c r="E176" s="23" t="inlineStr">
        <is>
          <t>Mono&lt;ClaimResponse&gt; rejectClaim(Long reviewerId, Long claimId, RejectClaimRequest request)</t>
        </is>
      </c>
      <c r="F176" s="23" t="inlineStr">
        <is>
          <t>-</t>
        </is>
      </c>
    </row>
    <row r="177">
      <c r="A177" s="23" t="inlineStr">
        <is>
          <t>Claims Service</t>
        </is>
      </c>
      <c r="B177" s="23" t="inlineStr">
        <is>
          <t>Service (business)</t>
        </is>
      </c>
      <c r="C177" s="23" t="inlineStr">
        <is>
          <t>ClaimService</t>
        </is>
      </c>
      <c r="D177" s="23" t="inlineStr">
        <is>
          <t>settleClaim</t>
        </is>
      </c>
      <c r="E177" s="23" t="inlineStr">
        <is>
          <t>Mono&lt;ClaimResponse&gt; settleClaim(Long officerId, Long claimId, SettleClaimRequest request)</t>
        </is>
      </c>
      <c r="F177" s="23" t="inlineStr">
        <is>
          <t>-</t>
        </is>
      </c>
    </row>
    <row r="178">
      <c r="A178" s="23" t="inlineStr">
        <is>
          <t>Claims Service</t>
        </is>
      </c>
      <c r="B178" s="23" t="inlineStr">
        <is>
          <t>Service (business)</t>
        </is>
      </c>
      <c r="C178" s="23" t="inlineStr">
        <is>
          <t>ClaimService</t>
        </is>
      </c>
      <c r="D178" s="23" t="inlineStr">
        <is>
          <t>settleFromPayout</t>
        </is>
      </c>
      <c r="E178" s="23" t="inlineStr">
        <is>
          <t>Mono&lt;ClaimResponse&gt; settleFromPayout(Long claimId,String payoutReference)</t>
        </is>
      </c>
      <c r="F178" s="23" t="inlineStr">
        <is>
          <t>-</t>
        </is>
      </c>
    </row>
    <row r="179">
      <c r="A179" s="23" t="inlineStr">
        <is>
          <t>Claims Service</t>
        </is>
      </c>
      <c r="B179" s="23" t="inlineStr">
        <is>
          <t>Service (business)</t>
        </is>
      </c>
      <c r="C179" s="23" t="inlineStr">
        <is>
          <t>ClaimService</t>
        </is>
      </c>
      <c r="D179" s="23" t="inlineStr">
        <is>
          <t>getClaimTimeline</t>
        </is>
      </c>
      <c r="E179" s="23" t="inlineStr">
        <is>
          <t>Flux&lt;ClaimTimelineResponse&gt; getClaimTimeline(Long customerId,Long claimId)</t>
        </is>
      </c>
      <c r="F179" s="23" t="inlineStr">
        <is>
          <t>-</t>
        </is>
      </c>
    </row>
    <row r="180">
      <c r="A180" s="23" t="inlineStr">
        <is>
          <t>Claims Service</t>
        </is>
      </c>
      <c r="B180" s="23" t="inlineStr">
        <is>
          <t>Service (business)</t>
        </is>
      </c>
      <c r="C180" s="23" t="inlineStr">
        <is>
          <t>ClaimService</t>
        </is>
      </c>
      <c r="D180" s="23" t="inlineStr">
        <is>
          <t>getClaimTimelineAdmin</t>
        </is>
      </c>
      <c r="E180" s="23" t="inlineStr">
        <is>
          <t>Flux&lt;ClaimTimelineResponse&gt; getClaimTimelineAdmin(Long claimId)</t>
        </is>
      </c>
      <c r="F180" s="23" t="inlineStr">
        <is>
          <t>-</t>
        </is>
      </c>
    </row>
    <row r="181">
      <c r="A181" s="23" t="inlineStr">
        <is>
          <t>Claims Service</t>
        </is>
      </c>
      <c r="B181" s="23" t="inlineStr">
        <is>
          <t>Service (business)</t>
        </is>
      </c>
      <c r="C181" s="23" t="inlineStr">
        <is>
          <t>NotificationService</t>
        </is>
      </c>
      <c r="D181" s="23" t="inlineStr">
        <is>
          <t>notifyClaimSubmitted</t>
        </is>
      </c>
      <c r="E181" s="23" t="inlineStr">
        <is>
          <t>Mono&lt;Void&gt; notifyClaimSubmitted(Long customerId, Long claimId, String claimNumber)</t>
        </is>
      </c>
      <c r="F181" s="23" t="inlineStr">
        <is>
          <t>-</t>
        </is>
      </c>
    </row>
    <row r="182">
      <c r="A182" s="23" t="inlineStr">
        <is>
          <t>Claims Service</t>
        </is>
      </c>
      <c r="B182" s="23" t="inlineStr">
        <is>
          <t>Service (business)</t>
        </is>
      </c>
      <c r="C182" s="23" t="inlineStr">
        <is>
          <t>NotificationService</t>
        </is>
      </c>
      <c r="D182" s="23" t="inlineStr">
        <is>
          <t>notifyManualClaimSubmitted</t>
        </is>
      </c>
      <c r="E182" s="23" t="inlineStr">
        <is>
          <t>Mono&lt;Void&gt; notifyManualClaimSubmitted(Long customerId, Long claimId, String claimNumber)</t>
        </is>
      </c>
      <c r="F182" s="23" t="inlineStr">
        <is>
          <t>-</t>
        </is>
      </c>
    </row>
    <row r="183">
      <c r="A183" s="23" t="inlineStr">
        <is>
          <t>Claims Service</t>
        </is>
      </c>
      <c r="B183" s="23" t="inlineStr">
        <is>
          <t>Service (business)</t>
        </is>
      </c>
      <c r="C183" s="23" t="inlineStr">
        <is>
          <t>NotificationService</t>
        </is>
      </c>
      <c r="D183" s="23" t="inlineStr">
        <is>
          <t>notifyClaimUnderReview</t>
        </is>
      </c>
      <c r="E183" s="23" t="inlineStr">
        <is>
          <t>Mono&lt;Void&gt; notifyClaimUnderReview(Long customerId, Long claimId, String claimNumber)</t>
        </is>
      </c>
      <c r="F183" s="23" t="inlineStr">
        <is>
          <t>-</t>
        </is>
      </c>
    </row>
    <row r="184">
      <c r="A184" s="23" t="inlineStr">
        <is>
          <t>Claims Service</t>
        </is>
      </c>
      <c r="B184" s="23" t="inlineStr">
        <is>
          <t>Service (business)</t>
        </is>
      </c>
      <c r="C184" s="23" t="inlineStr">
        <is>
          <t>NotificationService</t>
        </is>
      </c>
      <c r="D184" s="23" t="inlineStr">
        <is>
          <t>notifyClaimApproved</t>
        </is>
      </c>
      <c r="E184" s="23" t="inlineStr">
        <is>
          <t>Mono&lt;Void&gt; notifyClaimApproved(Long customerId, Long claimId, String claimNumber)</t>
        </is>
      </c>
      <c r="F184" s="23" t="inlineStr">
        <is>
          <t>-</t>
        </is>
      </c>
    </row>
    <row r="185">
      <c r="A185" s="23" t="inlineStr">
        <is>
          <t>Claims Service</t>
        </is>
      </c>
      <c r="B185" s="23" t="inlineStr">
        <is>
          <t>Service (business)</t>
        </is>
      </c>
      <c r="C185" s="23" t="inlineStr">
        <is>
          <t>NotificationService</t>
        </is>
      </c>
      <c r="D185" s="23" t="inlineStr">
        <is>
          <t>notifyClaimRejected</t>
        </is>
      </c>
      <c r="E185" s="23" t="inlineStr">
        <is>
          <t>Mono&lt;Void&gt; notifyClaimRejected(Long customerId, Long claimId, String claimNumber, String reason)</t>
        </is>
      </c>
      <c r="F185" s="23" t="inlineStr">
        <is>
          <t>-</t>
        </is>
      </c>
    </row>
    <row r="186">
      <c r="A186" s="23" t="inlineStr">
        <is>
          <t>Claims Service</t>
        </is>
      </c>
      <c r="B186" s="23" t="inlineStr">
        <is>
          <t>Service (business)</t>
        </is>
      </c>
      <c r="C186" s="23" t="inlineStr">
        <is>
          <t>NotificationService</t>
        </is>
      </c>
      <c r="D186" s="23" t="inlineStr">
        <is>
          <t>notifyClaimSettled</t>
        </is>
      </c>
      <c r="E186" s="23" t="inlineStr">
        <is>
          <t>Mono&lt;Void&gt; notifyClaimSettled(Long customerId, Long claimId, String claimNumber)</t>
        </is>
      </c>
      <c r="F186" s="23" t="inlineStr">
        <is>
          <t>-</t>
        </is>
      </c>
    </row>
    <row r="187">
      <c r="A187" s="23" t="inlineStr">
        <is>
          <t>Claims Service</t>
        </is>
      </c>
      <c r="B187" s="23" t="inlineStr">
        <is>
          <t>Service (business)</t>
        </is>
      </c>
      <c r="C187" s="23" t="inlineStr">
        <is>
          <t>NotificationService</t>
        </is>
      </c>
      <c r="D187" s="23" t="inlineStr">
        <is>
          <t>notifyClaimCancelled</t>
        </is>
      </c>
      <c r="E187" s="23" t="inlineStr">
        <is>
          <t>Mono&lt;Void&gt; notifyClaimCancelled(Long customerId, Long claimId, String claimNumber)</t>
        </is>
      </c>
      <c r="F187" s="23" t="inlineStr">
        <is>
          <t>-</t>
        </is>
      </c>
    </row>
    <row r="188">
      <c r="A188" s="23" t="inlineStr">
        <is>
          <t>Claims Service</t>
        </is>
      </c>
      <c r="B188" s="23" t="inlineStr">
        <is>
          <t>Service (business)</t>
        </is>
      </c>
      <c r="C188" s="23" t="inlineStr">
        <is>
          <t>NotificationService</t>
        </is>
      </c>
      <c r="D188" s="23" t="inlineStr">
        <is>
          <t>notifyClaimPendingReview</t>
        </is>
      </c>
      <c r="E188" s="23" t="inlineStr">
        <is>
          <t>Mono&lt;Void&gt; notifyClaimPendingReview(Long claimId, String claimNumber)</t>
        </is>
      </c>
      <c r="F188" s="23" t="inlineStr">
        <is>
          <t>-</t>
        </is>
      </c>
    </row>
    <row r="189">
      <c r="A189" s="23" t="inlineStr">
        <is>
          <t>Claims Service</t>
        </is>
      </c>
      <c r="B189" s="23" t="inlineStr">
        <is>
          <t>Client (outbound REST)</t>
        </is>
      </c>
      <c r="C189" s="23" t="inlineStr">
        <is>
          <t>FinancialServiceClient</t>
        </is>
      </c>
      <c r="D189" s="23" t="inlineStr">
        <is>
          <t>createPayoutForClaim</t>
        </is>
      </c>
      <c r="E189" s="23" t="inlineStr">
        <is>
          <t>Mono&lt;Void&gt; createPayoutForClaim(Long claimId)</t>
        </is>
      </c>
      <c r="F189" s="23" t="inlineStr">
        <is>
          <t>-</t>
        </is>
      </c>
    </row>
    <row r="190">
      <c r="A190" s="23" t="inlineStr">
        <is>
          <t>Claims Service</t>
        </is>
      </c>
      <c r="B190" s="23" t="inlineStr">
        <is>
          <t>Client (outbound REST)</t>
        </is>
      </c>
      <c r="C190" s="23" t="inlineStr">
        <is>
          <t>FinancialServiceClient</t>
        </is>
      </c>
      <c r="D190" s="23" t="inlineStr">
        <is>
          <t>isPremiumPaid</t>
        </is>
      </c>
      <c r="E190" s="23" t="inlineStr">
        <is>
          <t>Mono&lt;Boolean&gt; isPremiumPaid(Long policyId,String policyNumber)</t>
        </is>
      </c>
      <c r="F190" s="23" t="inlineStr">
        <is>
          <t>-</t>
        </is>
      </c>
    </row>
    <row r="191" ht="25" customHeight="1" s="20">
      <c r="A191" s="23" t="inlineStr">
        <is>
          <t>Claims Service</t>
        </is>
      </c>
      <c r="B191" s="23" t="inlineStr">
        <is>
          <t>Client (outbound REST)</t>
        </is>
      </c>
      <c r="C191" s="23" t="inlineStr">
        <is>
          <t>NotificationServiceClient</t>
        </is>
      </c>
      <c r="D191" s="23" t="inlineStr">
        <is>
          <t>sendNotification</t>
        </is>
      </c>
      <c r="E191" s="23" t="inlineStr">
        <is>
          <t>Mono&lt;Void&gt; sendNotification(NotificationRequest request)</t>
        </is>
      </c>
      <c r="F191" s="23" t="inlineStr">
        <is>
          <t>-</t>
        </is>
      </c>
    </row>
    <row r="192">
      <c r="A192" s="23" t="inlineStr">
        <is>
          <t>Claims Service</t>
        </is>
      </c>
      <c r="B192" s="23" t="inlineStr">
        <is>
          <t>Config / Loader / Scheduler</t>
        </is>
      </c>
      <c r="C192" s="23" t="inlineStr">
        <is>
          <t>ClaimsserviceApplication</t>
        </is>
      </c>
      <c r="D192" s="23" t="inlineStr">
        <is>
          <t>main</t>
        </is>
      </c>
      <c r="E192" s="23" t="inlineStr">
        <is>
          <t>void main(String[] args)</t>
        </is>
      </c>
      <c r="F192" s="23" t="inlineStr">
        <is>
          <t>-</t>
        </is>
      </c>
    </row>
    <row r="193">
      <c r="A193" s="23" t="inlineStr">
        <is>
          <t>Trigger Service</t>
        </is>
      </c>
      <c r="B193" s="23" t="inlineStr">
        <is>
          <t>Handler (HTTP)</t>
        </is>
      </c>
      <c r="C193" s="23" t="inlineStr">
        <is>
          <t>LocationZoneHandler</t>
        </is>
      </c>
      <c r="D193" s="23" t="inlineStr">
        <is>
          <t>getAll</t>
        </is>
      </c>
      <c r="E193" s="23" t="inlineStr">
        <is>
          <t>Mono&lt;ServerResponse&gt; getAll(ServerRequest request)</t>
        </is>
      </c>
      <c r="F193" s="23" t="inlineStr">
        <is>
          <t>-</t>
        </is>
      </c>
    </row>
    <row r="194">
      <c r="A194" s="23" t="inlineStr">
        <is>
          <t>Trigger Service</t>
        </is>
      </c>
      <c r="B194" s="23" t="inlineStr">
        <is>
          <t>Handler (HTTP)</t>
        </is>
      </c>
      <c r="C194" s="23" t="inlineStr">
        <is>
          <t>LocationZoneHandler</t>
        </is>
      </c>
      <c r="D194" s="23" t="inlineStr">
        <is>
          <t>getById</t>
        </is>
      </c>
      <c r="E194" s="23" t="inlineStr">
        <is>
          <t>Mono&lt;ServerResponse&gt; getById(ServerRequest request)</t>
        </is>
      </c>
      <c r="F194" s="23" t="inlineStr">
        <is>
          <t>-</t>
        </is>
      </c>
    </row>
    <row r="195">
      <c r="A195" s="23" t="inlineStr">
        <is>
          <t>Trigger Service</t>
        </is>
      </c>
      <c r="B195" s="23" t="inlineStr">
        <is>
          <t>Handler (HTTP)</t>
        </is>
      </c>
      <c r="C195" s="23" t="inlineStr">
        <is>
          <t>LocationZoneHandler</t>
        </is>
      </c>
      <c r="D195" s="23" t="inlineStr">
        <is>
          <t>getInternalById</t>
        </is>
      </c>
      <c r="E195" s="23" t="inlineStr">
        <is>
          <t>Mono&lt;ServerResponse&gt; getInternalById(ServerRequest request)</t>
        </is>
      </c>
      <c r="F195" s="23" t="inlineStr">
        <is>
          <t>-</t>
        </is>
      </c>
    </row>
    <row r="196">
      <c r="A196" s="23" t="inlineStr">
        <is>
          <t>Trigger Service</t>
        </is>
      </c>
      <c r="B196" s="23" t="inlineStr">
        <is>
          <t>Handler (HTTP)</t>
        </is>
      </c>
      <c r="C196" s="23" t="inlineStr">
        <is>
          <t>LocationZoneHandler</t>
        </is>
      </c>
      <c r="D196" s="23" t="inlineStr">
        <is>
          <t>create</t>
        </is>
      </c>
      <c r="E196" s="23" t="inlineStr">
        <is>
          <t>Mono&lt;ServerResponse&gt; create(ServerRequest request)</t>
        </is>
      </c>
      <c r="F196" s="23" t="inlineStr">
        <is>
          <t>-</t>
        </is>
      </c>
    </row>
    <row r="197">
      <c r="A197" s="23" t="inlineStr">
        <is>
          <t>Trigger Service</t>
        </is>
      </c>
      <c r="B197" s="23" t="inlineStr">
        <is>
          <t>Handler (HTTP)</t>
        </is>
      </c>
      <c r="C197" s="23" t="inlineStr">
        <is>
          <t>LocationZoneHandler</t>
        </is>
      </c>
      <c r="D197" s="23" t="inlineStr">
        <is>
          <t>update</t>
        </is>
      </c>
      <c r="E197" s="23" t="inlineStr">
        <is>
          <t>Mono&lt;ServerResponse&gt; update(ServerRequest request)</t>
        </is>
      </c>
      <c r="F197" s="23" t="inlineStr">
        <is>
          <t>-</t>
        </is>
      </c>
    </row>
    <row r="198">
      <c r="A198" s="23" t="inlineStr">
        <is>
          <t>Trigger Service</t>
        </is>
      </c>
      <c r="B198" s="23" t="inlineStr">
        <is>
          <t>Handler (HTTP)</t>
        </is>
      </c>
      <c r="C198" s="23" t="inlineStr">
        <is>
          <t>LocationZoneHandler</t>
        </is>
      </c>
      <c r="D198" s="23" t="inlineStr">
        <is>
          <t>updateStatus</t>
        </is>
      </c>
      <c r="E198" s="23" t="inlineStr">
        <is>
          <t>Mono&lt;ServerResponse&gt; updateStatus(ServerRequest request)</t>
        </is>
      </c>
      <c r="F198" s="23" t="inlineStr">
        <is>
          <t>-</t>
        </is>
      </c>
    </row>
    <row r="199">
      <c r="A199" s="23" t="inlineStr">
        <is>
          <t>Trigger Service</t>
        </is>
      </c>
      <c r="B199" s="23" t="inlineStr">
        <is>
          <t>Handler (HTTP)</t>
        </is>
      </c>
      <c r="C199" s="23" t="inlineStr">
        <is>
          <t>LocationZoneHandler</t>
        </is>
      </c>
      <c r="D199" s="23" t="inlineStr">
        <is>
          <t>getArchived</t>
        </is>
      </c>
      <c r="E199" s="23" t="inlineStr">
        <is>
          <t>Mono&lt;ServerResponse&gt; getArchived(ServerRequest request)</t>
        </is>
      </c>
      <c r="F199" s="23" t="inlineStr">
        <is>
          <t>-</t>
        </is>
      </c>
    </row>
    <row r="200">
      <c r="A200" s="23" t="inlineStr">
        <is>
          <t>Trigger Service</t>
        </is>
      </c>
      <c r="B200" s="23" t="inlineStr">
        <is>
          <t>Handler (HTTP)</t>
        </is>
      </c>
      <c r="C200" s="23" t="inlineStr">
        <is>
          <t>LocationZoneHandler</t>
        </is>
      </c>
      <c r="D200" s="23" t="inlineStr">
        <is>
          <t>restore</t>
        </is>
      </c>
      <c r="E200" s="23" t="inlineStr">
        <is>
          <t>Mono&lt;ServerResponse&gt; restore(ServerRequest request)</t>
        </is>
      </c>
      <c r="F200" s="23" t="inlineStr">
        <is>
          <t>-</t>
        </is>
      </c>
    </row>
    <row r="201">
      <c r="A201" s="23" t="inlineStr">
        <is>
          <t>Trigger Service</t>
        </is>
      </c>
      <c r="B201" s="23" t="inlineStr">
        <is>
          <t>Handler (HTTP)</t>
        </is>
      </c>
      <c r="C201" s="23" t="inlineStr">
        <is>
          <t>LocationZoneHandler</t>
        </is>
      </c>
      <c r="D201" s="23" t="inlineStr">
        <is>
          <t>archive</t>
        </is>
      </c>
      <c r="E201" s="23" t="inlineStr">
        <is>
          <t>Mono&lt;ServerResponse&gt; archive(ServerRequest request)</t>
        </is>
      </c>
      <c r="F201" s="23" t="inlineStr">
        <is>
          <t>-</t>
        </is>
      </c>
    </row>
    <row r="202">
      <c r="A202" s="23" t="inlineStr">
        <is>
          <t>Trigger Service</t>
        </is>
      </c>
      <c r="B202" s="23" t="inlineStr">
        <is>
          <t>Handler (HTTP)</t>
        </is>
      </c>
      <c r="C202" s="23" t="inlineStr">
        <is>
          <t>LocationZoneHandler</t>
        </is>
      </c>
      <c r="D202" s="23" t="inlineStr">
        <is>
          <t>updateAlert</t>
        </is>
      </c>
      <c r="E202" s="23" t="inlineStr">
        <is>
          <t>Mono&lt;ServerResponse&gt; updateAlert(ServerRequest request)</t>
        </is>
      </c>
      <c r="F202" s="23" t="inlineStr">
        <is>
          <t>-</t>
        </is>
      </c>
    </row>
    <row r="203">
      <c r="A203" s="23" t="inlineStr">
        <is>
          <t>Trigger Service</t>
        </is>
      </c>
      <c r="B203" s="23" t="inlineStr">
        <is>
          <t>Handler (HTTP)</t>
        </is>
      </c>
      <c r="C203" s="23" t="inlineStr">
        <is>
          <t>LocationZoneHandler</t>
        </is>
      </c>
      <c r="D203" s="23" t="inlineStr">
        <is>
          <t>updateExposureCap</t>
        </is>
      </c>
      <c r="E203" s="23" t="inlineStr">
        <is>
          <t>Mono&lt;ServerResponse&gt; updateExposureCap(ServerRequest request)</t>
        </is>
      </c>
      <c r="F203" s="23" t="inlineStr">
        <is>
          <t>-</t>
        </is>
      </c>
    </row>
    <row r="204">
      <c r="A204" s="23" t="inlineStr">
        <is>
          <t>Trigger Service</t>
        </is>
      </c>
      <c r="B204" s="23" t="inlineStr">
        <is>
          <t>Handler (HTTP)</t>
        </is>
      </c>
      <c r="C204" s="23" t="inlineStr">
        <is>
          <t>LocationZoneHandler</t>
        </is>
      </c>
      <c r="D204" s="23" t="inlineStr">
        <is>
          <t>getActive</t>
        </is>
      </c>
      <c r="E204" s="23" t="inlineStr">
        <is>
          <t>Mono&lt;ServerResponse&gt; getActive(ServerRequest request)</t>
        </is>
      </c>
      <c r="F204" s="23" t="inlineStr">
        <is>
          <t>-</t>
        </is>
      </c>
    </row>
    <row r="205">
      <c r="A205" s="23" t="inlineStr">
        <is>
          <t>Trigger Service</t>
        </is>
      </c>
      <c r="B205" s="23" t="inlineStr">
        <is>
          <t>Handler (HTTP)</t>
        </is>
      </c>
      <c r="C205" s="23" t="inlineStr">
        <is>
          <t>LocationZoneHandler</t>
        </is>
      </c>
      <c r="D205" s="23" t="inlineStr">
        <is>
          <t>getInternalActive</t>
        </is>
      </c>
      <c r="E205" s="23" t="inlineStr">
        <is>
          <t>Mono&lt;ServerResponse&gt; getInternalActive(ServerRequest request)</t>
        </is>
      </c>
      <c r="F205" s="23" t="inlineStr">
        <is>
          <t>-</t>
        </is>
      </c>
    </row>
    <row r="206">
      <c r="A206" s="23" t="inlineStr">
        <is>
          <t>Trigger Service</t>
        </is>
      </c>
      <c r="B206" s="23" t="inlineStr">
        <is>
          <t>Handler (HTTP)</t>
        </is>
      </c>
      <c r="C206" s="23" t="inlineStr">
        <is>
          <t>MeasurementHandler</t>
        </is>
      </c>
      <c r="D206" s="23" t="inlineStr">
        <is>
          <t>recordManualReading</t>
        </is>
      </c>
      <c r="E206" s="23" t="inlineStr">
        <is>
          <t>Mono&lt;ServerResponse&gt; recordManualReading(ServerRequest request)</t>
        </is>
      </c>
      <c r="F206" s="23" t="inlineStr">
        <is>
          <t>-</t>
        </is>
      </c>
    </row>
    <row r="207">
      <c r="A207" s="23" t="inlineStr">
        <is>
          <t>Trigger Service</t>
        </is>
      </c>
      <c r="B207" s="23" t="inlineStr">
        <is>
          <t>Handler (HTTP)</t>
        </is>
      </c>
      <c r="C207" s="23" t="inlineStr">
        <is>
          <t>MeasurementHandler</t>
        </is>
      </c>
      <c r="D207" s="23" t="inlineStr">
        <is>
          <t>processCurrentMeasurement</t>
        </is>
      </c>
      <c r="E207" s="23" t="inlineStr">
        <is>
          <t>Mono&lt;ServerResponse&gt; processCurrentMeasurement(ServerRequest request)</t>
        </is>
      </c>
      <c r="F207" s="23" t="inlineStr">
        <is>
          <t>-</t>
        </is>
      </c>
    </row>
    <row r="208">
      <c r="A208" s="23" t="inlineStr">
        <is>
          <t>Trigger Service</t>
        </is>
      </c>
      <c r="B208" s="23" t="inlineStr">
        <is>
          <t>Handler (HTTP)</t>
        </is>
      </c>
      <c r="C208" s="23" t="inlineStr">
        <is>
          <t>MeasurementHandler</t>
        </is>
      </c>
      <c r="D208" s="23" t="inlineStr">
        <is>
          <t>getCurrentMeasurementSnapshots</t>
        </is>
      </c>
      <c r="E208" s="23" t="inlineStr">
        <is>
          <t>Mono&lt;ServerResponse&gt; getCurrentMeasurementSnapshots(ServerRequest request)</t>
        </is>
      </c>
      <c r="F208" s="23" t="inlineStr">
        <is>
          <t>-</t>
        </is>
      </c>
    </row>
    <row r="209">
      <c r="A209" s="23" t="inlineStr">
        <is>
          <t>Trigger Service</t>
        </is>
      </c>
      <c r="B209" s="23" t="inlineStr">
        <is>
          <t>Handler (HTTP)</t>
        </is>
      </c>
      <c r="C209" s="23" t="inlineStr">
        <is>
          <t>MeasurementHandler</t>
        </is>
      </c>
      <c r="D209" s="23" t="inlineStr">
        <is>
          <t>getCurrentMeasurementsInternal</t>
        </is>
      </c>
      <c r="E209" s="23" t="inlineStr">
        <is>
          <t>Mono&lt;ServerResponse&gt; getCurrentMeasurementsInternal(ServerRequest request)</t>
        </is>
      </c>
      <c r="F209" s="23" t="inlineStr">
        <is>
          <t>-</t>
        </is>
      </c>
    </row>
    <row r="210">
      <c r="A210" s="23" t="inlineStr">
        <is>
          <t>Trigger Service</t>
        </is>
      </c>
      <c r="B210" s="23" t="inlineStr">
        <is>
          <t>Handler (HTTP)</t>
        </is>
      </c>
      <c r="C210" s="23" t="inlineStr">
        <is>
          <t>PerilHandler</t>
        </is>
      </c>
      <c r="D210" s="23" t="inlineStr">
        <is>
          <t>getAll</t>
        </is>
      </c>
      <c r="E210" s="23" t="inlineStr">
        <is>
          <t>Mono&lt;ServerResponse&gt; getAll(ServerRequest request)</t>
        </is>
      </c>
      <c r="F210" s="23" t="inlineStr">
        <is>
          <t>-</t>
        </is>
      </c>
    </row>
    <row r="211">
      <c r="A211" s="23" t="inlineStr">
        <is>
          <t>Trigger Service</t>
        </is>
      </c>
      <c r="B211" s="23" t="inlineStr">
        <is>
          <t>Handler (HTTP)</t>
        </is>
      </c>
      <c r="C211" s="23" t="inlineStr">
        <is>
          <t>PerilHandler</t>
        </is>
      </c>
      <c r="D211" s="23" t="inlineStr">
        <is>
          <t>getById</t>
        </is>
      </c>
      <c r="E211" s="23" t="inlineStr">
        <is>
          <t>Mono&lt;ServerResponse&gt; getById(ServerRequest request)</t>
        </is>
      </c>
      <c r="F211" s="23" t="inlineStr">
        <is>
          <t>-</t>
        </is>
      </c>
    </row>
    <row r="212">
      <c r="A212" s="23" t="inlineStr">
        <is>
          <t>Trigger Service</t>
        </is>
      </c>
      <c r="B212" s="23" t="inlineStr">
        <is>
          <t>Handler (HTTP)</t>
        </is>
      </c>
      <c r="C212" s="23" t="inlineStr">
        <is>
          <t>PerilHandler</t>
        </is>
      </c>
      <c r="D212" s="23" t="inlineStr">
        <is>
          <t>create</t>
        </is>
      </c>
      <c r="E212" s="23" t="inlineStr">
        <is>
          <t>Mono&lt;ServerResponse&gt; create(ServerRequest request)</t>
        </is>
      </c>
      <c r="F212" s="23" t="inlineStr">
        <is>
          <t>-</t>
        </is>
      </c>
    </row>
    <row r="213">
      <c r="A213" s="23" t="inlineStr">
        <is>
          <t>Trigger Service</t>
        </is>
      </c>
      <c r="B213" s="23" t="inlineStr">
        <is>
          <t>Handler (HTTP)</t>
        </is>
      </c>
      <c r="C213" s="23" t="inlineStr">
        <is>
          <t>PerilHandler</t>
        </is>
      </c>
      <c r="D213" s="23" t="inlineStr">
        <is>
          <t>update</t>
        </is>
      </c>
      <c r="E213" s="23" t="inlineStr">
        <is>
          <t>Mono&lt;ServerResponse&gt; update(ServerRequest request)</t>
        </is>
      </c>
      <c r="F213" s="23" t="inlineStr">
        <is>
          <t>-</t>
        </is>
      </c>
    </row>
    <row r="214">
      <c r="A214" s="23" t="inlineStr">
        <is>
          <t>Trigger Service</t>
        </is>
      </c>
      <c r="B214" s="23" t="inlineStr">
        <is>
          <t>Handler (HTTP)</t>
        </is>
      </c>
      <c r="C214" s="23" t="inlineStr">
        <is>
          <t>PerilHandler</t>
        </is>
      </c>
      <c r="D214" s="23" t="inlineStr">
        <is>
          <t>updateStatus</t>
        </is>
      </c>
      <c r="E214" s="23" t="inlineStr">
        <is>
          <t>Mono&lt;ServerResponse&gt; updateStatus(ServerRequest request)</t>
        </is>
      </c>
      <c r="F214" s="23" t="inlineStr">
        <is>
          <t>-</t>
        </is>
      </c>
    </row>
    <row r="215">
      <c r="A215" s="23" t="inlineStr">
        <is>
          <t>Trigger Service</t>
        </is>
      </c>
      <c r="B215" s="23" t="inlineStr">
        <is>
          <t>Handler (HTTP)</t>
        </is>
      </c>
      <c r="C215" s="23" t="inlineStr">
        <is>
          <t>PerilHandler</t>
        </is>
      </c>
      <c r="D215" s="23" t="inlineStr">
        <is>
          <t>getArchived</t>
        </is>
      </c>
      <c r="E215" s="23" t="inlineStr">
        <is>
          <t>Mono&lt;ServerResponse&gt; getArchived(ServerRequest request)</t>
        </is>
      </c>
      <c r="F215" s="23" t="inlineStr">
        <is>
          <t>-</t>
        </is>
      </c>
    </row>
    <row r="216">
      <c r="A216" s="23" t="inlineStr">
        <is>
          <t>Trigger Service</t>
        </is>
      </c>
      <c r="B216" s="23" t="inlineStr">
        <is>
          <t>Handler (HTTP)</t>
        </is>
      </c>
      <c r="C216" s="23" t="inlineStr">
        <is>
          <t>PerilHandler</t>
        </is>
      </c>
      <c r="D216" s="23" t="inlineStr">
        <is>
          <t>restore</t>
        </is>
      </c>
      <c r="E216" s="23" t="inlineStr">
        <is>
          <t>Mono&lt;ServerResponse&gt; restore(ServerRequest request)</t>
        </is>
      </c>
      <c r="F216" s="23" t="inlineStr">
        <is>
          <t>-</t>
        </is>
      </c>
    </row>
    <row r="217">
      <c r="A217" s="23" t="inlineStr">
        <is>
          <t>Trigger Service</t>
        </is>
      </c>
      <c r="B217" s="23" t="inlineStr">
        <is>
          <t>Handler (HTTP)</t>
        </is>
      </c>
      <c r="C217" s="23" t="inlineStr">
        <is>
          <t>PerilHandler</t>
        </is>
      </c>
      <c r="D217" s="23" t="inlineStr">
        <is>
          <t>archive</t>
        </is>
      </c>
      <c r="E217" s="23" t="inlineStr">
        <is>
          <t>Mono&lt;ServerResponse&gt; archive(ServerRequest request)</t>
        </is>
      </c>
      <c r="F217" s="23" t="inlineStr">
        <is>
          <t>-</t>
        </is>
      </c>
    </row>
    <row r="218">
      <c r="A218" s="23" t="inlineStr">
        <is>
          <t>Trigger Service</t>
        </is>
      </c>
      <c r="B218" s="23" t="inlineStr">
        <is>
          <t>Handler (HTTP)</t>
        </is>
      </c>
      <c r="C218" s="23" t="inlineStr">
        <is>
          <t>TriggerDefinitionHandler</t>
        </is>
      </c>
      <c r="D218" s="23" t="inlineStr">
        <is>
          <t>getById</t>
        </is>
      </c>
      <c r="E218" s="23" t="inlineStr">
        <is>
          <t>Mono&lt;ServerResponse&gt; getById(ServerRequest request)</t>
        </is>
      </c>
      <c r="F218" s="23" t="inlineStr">
        <is>
          <t>-</t>
        </is>
      </c>
    </row>
    <row r="219">
      <c r="A219" s="23" t="inlineStr">
        <is>
          <t>Trigger Service</t>
        </is>
      </c>
      <c r="B219" s="23" t="inlineStr">
        <is>
          <t>Handler (HTTP)</t>
        </is>
      </c>
      <c r="C219" s="23" t="inlineStr">
        <is>
          <t>TriggerDefinitionHandler</t>
        </is>
      </c>
      <c r="D219" s="23" t="inlineStr">
        <is>
          <t>syncProductDefinition</t>
        </is>
      </c>
      <c r="E219" s="23" t="inlineStr">
        <is>
          <t>Mono&lt;ServerResponse&gt; syncProductDefinition(ServerRequest request)</t>
        </is>
      </c>
      <c r="F219" s="23" t="inlineStr">
        <is>
          <t>-</t>
        </is>
      </c>
    </row>
    <row r="220">
      <c r="A220" s="23" t="inlineStr">
        <is>
          <t>Trigger Service</t>
        </is>
      </c>
      <c r="B220" s="23" t="inlineStr">
        <is>
          <t>Handler (HTTP)</t>
        </is>
      </c>
      <c r="C220" s="23" t="inlineStr">
        <is>
          <t>TriggerEventHandler</t>
        </is>
      </c>
      <c r="D220" s="23" t="inlineStr">
        <is>
          <t>getAll</t>
        </is>
      </c>
      <c r="E220" s="23" t="inlineStr">
        <is>
          <t>Mono&lt;ServerResponse&gt; getAll(ServerRequest request)</t>
        </is>
      </c>
      <c r="F220" s="23" t="inlineStr">
        <is>
          <t>-</t>
        </is>
      </c>
    </row>
    <row r="221">
      <c r="A221" s="23" t="inlineStr">
        <is>
          <t>Trigger Service</t>
        </is>
      </c>
      <c r="B221" s="23" t="inlineStr">
        <is>
          <t>Handler (HTTP)</t>
        </is>
      </c>
      <c r="C221" s="23" t="inlineStr">
        <is>
          <t>TriggerEventHandler</t>
        </is>
      </c>
      <c r="D221" s="23" t="inlineStr">
        <is>
          <t>getById</t>
        </is>
      </c>
      <c r="E221" s="23" t="inlineStr">
        <is>
          <t>Mono&lt;ServerResponse&gt; getById(ServerRequest request)</t>
        </is>
      </c>
      <c r="F221" s="23" t="inlineStr">
        <is>
          <t>-</t>
        </is>
      </c>
    </row>
    <row r="222">
      <c r="A222" s="23" t="inlineStr">
        <is>
          <t>Trigger Service</t>
        </is>
      </c>
      <c r="B222" s="23" t="inlineStr">
        <is>
          <t>Handler (HTTP)</t>
        </is>
      </c>
      <c r="C222" s="23" t="inlineStr">
        <is>
          <t>TriggerEventHandler</t>
        </is>
      </c>
      <c r="D222" s="23" t="inlineStr">
        <is>
          <t>markProcessed</t>
        </is>
      </c>
      <c r="E222" s="23" t="inlineStr">
        <is>
          <t>Mono&lt;ServerResponse&gt; markProcessed(ServerRequest request)</t>
        </is>
      </c>
      <c r="F222" s="23" t="inlineStr">
        <is>
          <t>-</t>
        </is>
      </c>
    </row>
    <row r="223">
      <c r="A223" s="23" t="inlineStr">
        <is>
          <t>Trigger Service</t>
        </is>
      </c>
      <c r="B223" s="23" t="inlineStr">
        <is>
          <t>Service (business)</t>
        </is>
      </c>
      <c r="C223" s="23" t="inlineStr">
        <is>
          <t>IdempotencyService</t>
        </is>
      </c>
      <c r="D223" s="23" t="inlineStr">
        <is>
          <t>isDuplicate</t>
        </is>
      </c>
      <c r="E223" s="23" t="inlineStr">
        <is>
          <t>Mono&lt;Boolean&gt; isDuplicate(String idempotencyKey)</t>
        </is>
      </c>
      <c r="F223" s="23" t="inlineStr">
        <is>
          <t>-</t>
        </is>
      </c>
    </row>
    <row r="224">
      <c r="A224" s="23" t="inlineStr">
        <is>
          <t>Trigger Service</t>
        </is>
      </c>
      <c r="B224" s="23" t="inlineStr">
        <is>
          <t>Service (business)</t>
        </is>
      </c>
      <c r="C224" s="23" t="inlineStr">
        <is>
          <t>IdempotencyService</t>
        </is>
      </c>
      <c r="D224" s="23" t="inlineStr">
        <is>
          <t>resourceId</t>
        </is>
      </c>
      <c r="E224" s="23" t="inlineStr">
        <is>
          <t>Mono&lt;Long&gt; resourceId(String idempotencyKey)</t>
        </is>
      </c>
      <c r="F224" s="23" t="inlineStr">
        <is>
          <t>-</t>
        </is>
      </c>
    </row>
    <row r="225">
      <c r="A225" s="23" t="inlineStr">
        <is>
          <t>Trigger Service</t>
        </is>
      </c>
      <c r="B225" s="23" t="inlineStr">
        <is>
          <t>Service (business)</t>
        </is>
      </c>
      <c r="C225" s="23" t="inlineStr">
        <is>
          <t>IdempotencyService</t>
        </is>
      </c>
      <c r="D225" s="23" t="inlineStr">
        <is>
          <t>record</t>
        </is>
      </c>
      <c r="E225" s="23" t="inlineStr">
        <is>
          <t>Mono&lt;IdempotencyRecord&gt; record(String idempotencyKey, String operationType, Long resourceId)</t>
        </is>
      </c>
      <c r="F225" s="23" t="inlineStr">
        <is>
          <t>-</t>
        </is>
      </c>
    </row>
    <row r="226">
      <c r="A226" s="23" t="inlineStr">
        <is>
          <t>Trigger Service</t>
        </is>
      </c>
      <c r="B226" s="23" t="inlineStr">
        <is>
          <t>Service (business)</t>
        </is>
      </c>
      <c r="C226" s="23" t="inlineStr">
        <is>
          <t>LocationZoneService</t>
        </is>
      </c>
      <c r="D226" s="23" t="inlineStr">
        <is>
          <t>getAll</t>
        </is>
      </c>
      <c r="E226" s="23" t="inlineStr">
        <is>
          <t>Flux&lt;LocationZoneResponse&gt; getAll(String state)</t>
        </is>
      </c>
      <c r="F226" s="23" t="inlineStr">
        <is>
          <t>-</t>
        </is>
      </c>
    </row>
    <row r="227">
      <c r="A227" s="23" t="inlineStr">
        <is>
          <t>Trigger Service</t>
        </is>
      </c>
      <c r="B227" s="23" t="inlineStr">
        <is>
          <t>Service (business)</t>
        </is>
      </c>
      <c r="C227" s="23" t="inlineStr">
        <is>
          <t>LocationZoneService</t>
        </is>
      </c>
      <c r="D227" s="23" t="inlineStr">
        <is>
          <t>getArchived</t>
        </is>
      </c>
      <c r="E227" s="23" t="inlineStr">
        <is>
          <t>Flux&lt;LocationZoneResponse&gt; getArchived()</t>
        </is>
      </c>
      <c r="F227" s="23" t="inlineStr">
        <is>
          <t>-</t>
        </is>
      </c>
    </row>
    <row r="228">
      <c r="A228" s="23" t="inlineStr">
        <is>
          <t>Trigger Service</t>
        </is>
      </c>
      <c r="B228" s="23" t="inlineStr">
        <is>
          <t>Service (business)</t>
        </is>
      </c>
      <c r="C228" s="23" t="inlineStr">
        <is>
          <t>LocationZoneService</t>
        </is>
      </c>
      <c r="D228" s="23" t="inlineStr">
        <is>
          <t>restore</t>
        </is>
      </c>
      <c r="E228" s="23" t="inlineStr">
        <is>
          <t>Mono&lt;LocationZoneResponse&gt; restore(Long zoneId,Long userId)</t>
        </is>
      </c>
      <c r="F228" s="23" t="inlineStr">
        <is>
          <t>-</t>
        </is>
      </c>
    </row>
    <row r="229">
      <c r="A229" s="23" t="inlineStr">
        <is>
          <t>Trigger Service</t>
        </is>
      </c>
      <c r="B229" s="23" t="inlineStr">
        <is>
          <t>Service (business)</t>
        </is>
      </c>
      <c r="C229" s="23" t="inlineStr">
        <is>
          <t>LocationZoneService</t>
        </is>
      </c>
      <c r="D229" s="23" t="inlineStr">
        <is>
          <t>getActive</t>
        </is>
      </c>
      <c r="E229" s="23" t="inlineStr">
        <is>
          <t>Flux&lt;LocationZoneResponse&gt; getActive()</t>
        </is>
      </c>
      <c r="F229" s="23" t="inlineStr">
        <is>
          <t>-</t>
        </is>
      </c>
    </row>
    <row r="230">
      <c r="A230" s="23" t="inlineStr">
        <is>
          <t>Trigger Service</t>
        </is>
      </c>
      <c r="B230" s="23" t="inlineStr">
        <is>
          <t>Service (business)</t>
        </is>
      </c>
      <c r="C230" s="23" t="inlineStr">
        <is>
          <t>LocationZoneService</t>
        </is>
      </c>
      <c r="D230" s="23" t="inlineStr">
        <is>
          <t>getById</t>
        </is>
      </c>
      <c r="E230" s="23" t="inlineStr">
        <is>
          <t>Mono&lt;LocationZoneResponse&gt; getById(Long zoneId)</t>
        </is>
      </c>
      <c r="F230" s="23" t="inlineStr">
        <is>
          <t>-</t>
        </is>
      </c>
    </row>
    <row r="231">
      <c r="A231" s="23" t="inlineStr">
        <is>
          <t>Trigger Service</t>
        </is>
      </c>
      <c r="B231" s="23" t="inlineStr">
        <is>
          <t>Service (business)</t>
        </is>
      </c>
      <c r="C231" s="23" t="inlineStr">
        <is>
          <t>LocationZoneService</t>
        </is>
      </c>
      <c r="D231" s="23" t="inlineStr">
        <is>
          <t>getInternalById</t>
        </is>
      </c>
      <c r="E231" s="23" t="inlineStr">
        <is>
          <t>Mono&lt;InternalZoneResponse&gt; getInternalById(Long zoneId)</t>
        </is>
      </c>
      <c r="F231" s="23" t="inlineStr">
        <is>
          <t>-</t>
        </is>
      </c>
    </row>
    <row r="232">
      <c r="A232" s="23" t="inlineStr">
        <is>
          <t>Trigger Service</t>
        </is>
      </c>
      <c r="B232" s="23" t="inlineStr">
        <is>
          <t>Service (business)</t>
        </is>
      </c>
      <c r="C232" s="23" t="inlineStr">
        <is>
          <t>LocationZoneService</t>
        </is>
      </c>
      <c r="D232" s="23" t="inlineStr">
        <is>
          <t>getActiveInternal</t>
        </is>
      </c>
      <c r="E232" s="23" t="inlineStr">
        <is>
          <t>Flux&lt;InternalZoneResponse&gt; getActiveInternal()</t>
        </is>
      </c>
      <c r="F232" s="23" t="inlineStr">
        <is>
          <t>-</t>
        </is>
      </c>
    </row>
    <row r="233">
      <c r="A233" s="23" t="inlineStr">
        <is>
          <t>Trigger Service</t>
        </is>
      </c>
      <c r="B233" s="23" t="inlineStr">
        <is>
          <t>Service (business)</t>
        </is>
      </c>
      <c r="C233" s="23" t="inlineStr">
        <is>
          <t>LocationZoneService</t>
        </is>
      </c>
      <c r="D233" s="23" t="inlineStr">
        <is>
          <t>create</t>
        </is>
      </c>
      <c r="E233" s="23" t="inlineStr">
        <is>
          <t>Mono&lt;LocationZoneResponse&gt; create(LocationZoneRequest request,Long userId)</t>
        </is>
      </c>
      <c r="F233" s="23" t="inlineStr">
        <is>
          <t>-</t>
        </is>
      </c>
    </row>
    <row r="234">
      <c r="A234" s="23" t="inlineStr">
        <is>
          <t>Trigger Service</t>
        </is>
      </c>
      <c r="B234" s="23" t="inlineStr">
        <is>
          <t>Service (business)</t>
        </is>
      </c>
      <c r="C234" s="23" t="inlineStr">
        <is>
          <t>LocationZoneService</t>
        </is>
      </c>
      <c r="D234" s="23" t="inlineStr">
        <is>
          <t>update</t>
        </is>
      </c>
      <c r="E234" s="23" t="inlineStr">
        <is>
          <t>Mono&lt;LocationZoneResponse&gt; update(Long zoneId, LocationZoneRequest request, Long userId)</t>
        </is>
      </c>
      <c r="F234" s="23" t="inlineStr">
        <is>
          <t>-</t>
        </is>
      </c>
    </row>
    <row r="235">
      <c r="A235" s="23" t="inlineStr">
        <is>
          <t>Trigger Service</t>
        </is>
      </c>
      <c r="B235" s="23" t="inlineStr">
        <is>
          <t>Service (business)</t>
        </is>
      </c>
      <c r="C235" s="23" t="inlineStr">
        <is>
          <t>LocationZoneService</t>
        </is>
      </c>
      <c r="D235" s="23" t="inlineStr">
        <is>
          <t>updateStatus</t>
        </is>
      </c>
      <c r="E235" s="23" t="inlineStr">
        <is>
          <t>Mono&lt;LocationZoneResponse&gt; updateStatus(Long zoneId, String statusValue, Long userId)</t>
        </is>
      </c>
      <c r="F235" s="23" t="inlineStr">
        <is>
          <t>-</t>
        </is>
      </c>
    </row>
    <row r="236">
      <c r="A236" s="23" t="inlineStr">
        <is>
          <t>Trigger Service</t>
        </is>
      </c>
      <c r="B236" s="23" t="inlineStr">
        <is>
          <t>Service (business)</t>
        </is>
      </c>
      <c r="C236" s="23" t="inlineStr">
        <is>
          <t>LocationZoneService</t>
        </is>
      </c>
      <c r="D236" s="23" t="inlineStr">
        <is>
          <t>archive</t>
        </is>
      </c>
      <c r="E236" s="23" t="inlineStr">
        <is>
          <t>Mono&lt;Void&gt; archive(Long zoneId,Long userId)</t>
        </is>
      </c>
      <c r="F236" s="23" t="inlineStr">
        <is>
          <t>-</t>
        </is>
      </c>
    </row>
    <row r="237">
      <c r="A237" s="23" t="inlineStr">
        <is>
          <t>Trigger Service</t>
        </is>
      </c>
      <c r="B237" s="23" t="inlineStr">
        <is>
          <t>Service (business)</t>
        </is>
      </c>
      <c r="C237" s="23" t="inlineStr">
        <is>
          <t>LocationZoneService</t>
        </is>
      </c>
      <c r="D237" s="23" t="inlineStr">
        <is>
          <t>updateAlert</t>
        </is>
      </c>
      <c r="E237" s="23" t="inlineStr">
        <is>
          <t>Mono&lt;LocationZoneResponse&gt; updateAlert(Long zoneId,ZoneAlertRequest request,Long userId)</t>
        </is>
      </c>
      <c r="F237" s="23" t="inlineStr">
        <is>
          <t>-</t>
        </is>
      </c>
    </row>
    <row r="238">
      <c r="A238" s="23" t="inlineStr">
        <is>
          <t>Trigger Service</t>
        </is>
      </c>
      <c r="B238" s="23" t="inlineStr">
        <is>
          <t>Service (business)</t>
        </is>
      </c>
      <c r="C238" s="23" t="inlineStr">
        <is>
          <t>LocationZoneService</t>
        </is>
      </c>
      <c r="D238" s="23" t="inlineStr">
        <is>
          <t>updateExposureCap</t>
        </is>
      </c>
      <c r="E238" s="23" t="inlineStr">
        <is>
          <t>Mono&lt;LocationZoneResponse&gt; updateExposureCap(Long zoneId,BigDecimal maxExposure,Long userId)</t>
        </is>
      </c>
      <c r="F238" s="23" t="inlineStr">
        <is>
          <t>-</t>
        </is>
      </c>
    </row>
    <row r="239">
      <c r="A239" s="23" t="inlineStr">
        <is>
          <t>Trigger Service</t>
        </is>
      </c>
      <c r="B239" s="23" t="inlineStr">
        <is>
          <t>Service (business)</t>
        </is>
      </c>
      <c r="C239" s="23" t="inlineStr">
        <is>
          <t>MeasurementService</t>
        </is>
      </c>
      <c r="D239" s="23" t="inlineStr">
        <is>
          <t>processCurrentMeasurement</t>
        </is>
      </c>
      <c r="E239" s="23" t="inlineStr">
        <is>
          <t>Mono&lt;CurrentMeasurementResult&gt; processCurrentMeasurement(CurrentMeasurementRequest request,Long recordedBy)</t>
        </is>
      </c>
      <c r="F239" s="23" t="inlineStr">
        <is>
          <t>-</t>
        </is>
      </c>
    </row>
    <row r="240">
      <c r="A240" s="23" t="inlineStr">
        <is>
          <t>Trigger Service</t>
        </is>
      </c>
      <c r="B240" s="23" t="inlineStr">
        <is>
          <t>Service (business)</t>
        </is>
      </c>
      <c r="C240" s="23" t="inlineStr">
        <is>
          <t>MeasurementService</t>
        </is>
      </c>
      <c r="D240" s="23" t="inlineStr">
        <is>
          <t>getCurrentMeasurementSnapshots</t>
        </is>
      </c>
      <c r="E240" s="23" t="inlineStr">
        <is>
          <t>Flux&lt;org.example.triggerservice.dto.CurrentMeasurementSnapshotResponse&gt; getCurrentMeasurementSnapshots()</t>
        </is>
      </c>
      <c r="F240" s="23" t="inlineStr">
        <is>
          <t>-</t>
        </is>
      </c>
    </row>
    <row r="241">
      <c r="A241" s="23" t="inlineStr">
        <is>
          <t>Trigger Service</t>
        </is>
      </c>
      <c r="B241" s="23" t="inlineStr">
        <is>
          <t>Service (business)</t>
        </is>
      </c>
      <c r="C241" s="23" t="inlineStr">
        <is>
          <t>MeasurementService</t>
        </is>
      </c>
      <c r="D241" s="23" t="inlineStr">
        <is>
          <t>getCurrentMeasurements</t>
        </is>
      </c>
      <c r="E241" s="23" t="inlineStr">
        <is>
          <t>Flux&lt;MeasurementCurrentResponse&gt; getCurrentMeasurements()</t>
        </is>
      </c>
      <c r="F241" s="23" t="inlineStr">
        <is>
          <t>-</t>
        </is>
      </c>
    </row>
    <row r="242">
      <c r="A242" s="23" t="inlineStr">
        <is>
          <t>Trigger Service</t>
        </is>
      </c>
      <c r="B242" s="23" t="inlineStr">
        <is>
          <t>Service (business)</t>
        </is>
      </c>
      <c r="C242" s="23" t="inlineStr">
        <is>
          <t>MeasurementService</t>
        </is>
      </c>
      <c r="D242" s="23" t="inlineStr">
        <is>
          <t>recordManualReading</t>
        </is>
      </c>
      <c r="E242" s="23" t="inlineStr">
        <is>
          <t>Mono&lt;ManualReadingResponse&gt; recordManualReading(ManualReadingRequest request, Long userId, int holdMinutes)</t>
        </is>
      </c>
      <c r="F242" s="23" t="inlineStr">
        <is>
          <t>-</t>
        </is>
      </c>
    </row>
    <row r="243">
      <c r="A243" s="23" t="inlineStr">
        <is>
          <t>Trigger Service</t>
        </is>
      </c>
      <c r="B243" s="23" t="inlineStr">
        <is>
          <t>Service (business)</t>
        </is>
      </c>
      <c r="C243" s="23" t="inlineStr">
        <is>
          <t>PerilService</t>
        </is>
      </c>
      <c r="D243" s="23" t="inlineStr">
        <is>
          <t>getAll</t>
        </is>
      </c>
      <c r="E243" s="23" t="inlineStr">
        <is>
          <t>Flux&lt;PerilResponse&gt; getAll()</t>
        </is>
      </c>
      <c r="F243" s="23" t="inlineStr">
        <is>
          <t>-</t>
        </is>
      </c>
    </row>
    <row r="244">
      <c r="A244" s="23" t="inlineStr">
        <is>
          <t>Trigger Service</t>
        </is>
      </c>
      <c r="B244" s="23" t="inlineStr">
        <is>
          <t>Service (business)</t>
        </is>
      </c>
      <c r="C244" s="23" t="inlineStr">
        <is>
          <t>PerilService</t>
        </is>
      </c>
      <c r="D244" s="23" t="inlineStr">
        <is>
          <t>getArchived</t>
        </is>
      </c>
      <c r="E244" s="23" t="inlineStr">
        <is>
          <t>Flux&lt;PerilResponse&gt; getArchived()</t>
        </is>
      </c>
      <c r="F244" s="23" t="inlineStr">
        <is>
          <t>-</t>
        </is>
      </c>
    </row>
    <row r="245">
      <c r="A245" s="23" t="inlineStr">
        <is>
          <t>Trigger Service</t>
        </is>
      </c>
      <c r="B245" s="23" t="inlineStr">
        <is>
          <t>Service (business)</t>
        </is>
      </c>
      <c r="C245" s="23" t="inlineStr">
        <is>
          <t>PerilService</t>
        </is>
      </c>
      <c r="D245" s="23" t="inlineStr">
        <is>
          <t>restore</t>
        </is>
      </c>
      <c r="E245" s="23" t="inlineStr">
        <is>
          <t>Mono&lt;PerilResponse&gt; restore(Long perilId,Long userId)</t>
        </is>
      </c>
      <c r="F245" s="23" t="inlineStr">
        <is>
          <t>-</t>
        </is>
      </c>
    </row>
    <row r="246">
      <c r="A246" s="23" t="inlineStr">
        <is>
          <t>Trigger Service</t>
        </is>
      </c>
      <c r="B246" s="23" t="inlineStr">
        <is>
          <t>Service (business)</t>
        </is>
      </c>
      <c r="C246" s="23" t="inlineStr">
        <is>
          <t>PerilService</t>
        </is>
      </c>
      <c r="D246" s="23" t="inlineStr">
        <is>
          <t>getActive</t>
        </is>
      </c>
      <c r="E246" s="23" t="inlineStr">
        <is>
          <t>Flux&lt;PerilResponse&gt; getActive()</t>
        </is>
      </c>
      <c r="F246" s="23" t="inlineStr">
        <is>
          <t>-</t>
        </is>
      </c>
    </row>
    <row r="247">
      <c r="A247" s="23" t="inlineStr">
        <is>
          <t>Trigger Service</t>
        </is>
      </c>
      <c r="B247" s="23" t="inlineStr">
        <is>
          <t>Service (business)</t>
        </is>
      </c>
      <c r="C247" s="23" t="inlineStr">
        <is>
          <t>PerilService</t>
        </is>
      </c>
      <c r="D247" s="23" t="inlineStr">
        <is>
          <t>getById</t>
        </is>
      </c>
      <c r="E247" s="23" t="inlineStr">
        <is>
          <t>Mono&lt;PerilResponse&gt; getById(Long perilId)</t>
        </is>
      </c>
      <c r="F247" s="23" t="inlineStr">
        <is>
          <t>-</t>
        </is>
      </c>
    </row>
    <row r="248">
      <c r="A248" s="23" t="inlineStr">
        <is>
          <t>Trigger Service</t>
        </is>
      </c>
      <c r="B248" s="23" t="inlineStr">
        <is>
          <t>Service (business)</t>
        </is>
      </c>
      <c r="C248" s="23" t="inlineStr">
        <is>
          <t>PerilService</t>
        </is>
      </c>
      <c r="D248" s="23" t="inlineStr">
        <is>
          <t>create</t>
        </is>
      </c>
      <c r="E248" s="23" t="inlineStr">
        <is>
          <t>Mono&lt;PerilResponse&gt; create(PerilRequest request,Long userId)</t>
        </is>
      </c>
      <c r="F248" s="23" t="inlineStr">
        <is>
          <t>-</t>
        </is>
      </c>
    </row>
    <row r="249">
      <c r="A249" s="23" t="inlineStr">
        <is>
          <t>Trigger Service</t>
        </is>
      </c>
      <c r="B249" s="23" t="inlineStr">
        <is>
          <t>Service (business)</t>
        </is>
      </c>
      <c r="C249" s="23" t="inlineStr">
        <is>
          <t>PerilService</t>
        </is>
      </c>
      <c r="D249" s="23" t="inlineStr">
        <is>
          <t>update</t>
        </is>
      </c>
      <c r="E249" s="23" t="inlineStr">
        <is>
          <t>Mono&lt;PerilResponse&gt; update(Long perilId,PerilRequest request,Long userId)</t>
        </is>
      </c>
      <c r="F249" s="23" t="inlineStr">
        <is>
          <t>-</t>
        </is>
      </c>
    </row>
    <row r="250">
      <c r="A250" s="23" t="inlineStr">
        <is>
          <t>Trigger Service</t>
        </is>
      </c>
      <c r="B250" s="23" t="inlineStr">
        <is>
          <t>Service (business)</t>
        </is>
      </c>
      <c r="C250" s="23" t="inlineStr">
        <is>
          <t>PerilService</t>
        </is>
      </c>
      <c r="D250" s="23" t="inlineStr">
        <is>
          <t>updateStatus</t>
        </is>
      </c>
      <c r="E250" s="23" t="inlineStr">
        <is>
          <t>Mono&lt;PerilResponse&gt; updateStatus(Long perilId,String statusValue,Long userId)</t>
        </is>
      </c>
      <c r="F250" s="23" t="inlineStr">
        <is>
          <t>-</t>
        </is>
      </c>
    </row>
    <row r="251">
      <c r="A251" s="23" t="inlineStr">
        <is>
          <t>Trigger Service</t>
        </is>
      </c>
      <c r="B251" s="23" t="inlineStr">
        <is>
          <t>Service (business)</t>
        </is>
      </c>
      <c r="C251" s="23" t="inlineStr">
        <is>
          <t>PerilService</t>
        </is>
      </c>
      <c r="D251" s="23" t="inlineStr">
        <is>
          <t>archive</t>
        </is>
      </c>
      <c r="E251" s="23" t="inlineStr">
        <is>
          <t>Mono&lt;Void&gt; archive(Long perilId,Long userId)</t>
        </is>
      </c>
      <c r="F251" s="23" t="inlineStr">
        <is>
          <t>-</t>
        </is>
      </c>
    </row>
    <row r="252">
      <c r="A252" s="23" t="inlineStr">
        <is>
          <t>Trigger Service</t>
        </is>
      </c>
      <c r="B252" s="23" t="inlineStr">
        <is>
          <t>Service (business)</t>
        </is>
      </c>
      <c r="C252" s="23" t="inlineStr">
        <is>
          <t>ProductTriggerSyncService</t>
        </is>
      </c>
      <c r="D252" s="23" t="inlineStr">
        <is>
          <t>syncProductDefinition</t>
        </is>
      </c>
      <c r="E252" s="23" t="inlineStr">
        <is>
          <t>Mono&lt;ProductTriggerSyncResult&gt; syncProductDefinition(Long productId, ProductTriggerSyncRequest request)</t>
        </is>
      </c>
      <c r="F252" s="23" t="inlineStr">
        <is>
          <t>-</t>
        </is>
      </c>
    </row>
    <row r="253">
      <c r="A253" s="23" t="inlineStr">
        <is>
          <t>Trigger Service</t>
        </is>
      </c>
      <c r="B253" s="23" t="inlineStr">
        <is>
          <t>Service (business)</t>
        </is>
      </c>
      <c r="C253" s="23" t="inlineStr">
        <is>
          <t>TriggerDefinitionService</t>
        </is>
      </c>
      <c r="D253" s="23" t="inlineStr">
        <is>
          <t>getById</t>
        </is>
      </c>
      <c r="E253" s="23" t="inlineStr">
        <is>
          <t>Mono&lt;TriggerDefinitionResponse&gt; getById(Long definitionId)</t>
        </is>
      </c>
      <c r="F253" s="23" t="inlineStr">
        <is>
          <t>-</t>
        </is>
      </c>
    </row>
    <row r="254">
      <c r="A254" s="23" t="inlineStr">
        <is>
          <t>Trigger Service</t>
        </is>
      </c>
      <c r="B254" s="23" t="inlineStr">
        <is>
          <t>Service (business)</t>
        </is>
      </c>
      <c r="C254" s="23" t="inlineStr">
        <is>
          <t>TriggerEventService</t>
        </is>
      </c>
      <c r="D254" s="23" t="inlineStr">
        <is>
          <t>getAll</t>
        </is>
      </c>
      <c r="E254" s="23" t="inlineStr">
        <is>
          <t>Flux&lt;TriggerEventResponse&gt; getAll()</t>
        </is>
      </c>
      <c r="F254" s="23" t="inlineStr">
        <is>
          <t>-</t>
        </is>
      </c>
    </row>
    <row r="255">
      <c r="A255" s="23" t="inlineStr">
        <is>
          <t>Trigger Service</t>
        </is>
      </c>
      <c r="B255" s="23" t="inlineStr">
        <is>
          <t>Service (business)</t>
        </is>
      </c>
      <c r="C255" s="23" t="inlineStr">
        <is>
          <t>TriggerEventService</t>
        </is>
      </c>
      <c r="D255" s="23" t="inlineStr">
        <is>
          <t>getById</t>
        </is>
      </c>
      <c r="E255" s="23" t="inlineStr">
        <is>
          <t>Mono&lt;TriggerEventResponse&gt; getById(Long eventId)</t>
        </is>
      </c>
      <c r="F255" s="23" t="inlineStr">
        <is>
          <t>-</t>
        </is>
      </c>
    </row>
    <row r="256">
      <c r="A256" s="23" t="inlineStr">
        <is>
          <t>Trigger Service</t>
        </is>
      </c>
      <c r="B256" s="23" t="inlineStr">
        <is>
          <t>Service (business)</t>
        </is>
      </c>
      <c r="C256" s="23" t="inlineStr">
        <is>
          <t>TriggerEventService</t>
        </is>
      </c>
      <c r="D256" s="23" t="inlineStr">
        <is>
          <t>markEventProcessed</t>
        </is>
      </c>
      <c r="E256" s="23" t="inlineStr">
        <is>
          <t>Mono&lt;Void&gt; markEventProcessed(Long eventId)</t>
        </is>
      </c>
      <c r="F256" s="23" t="inlineStr">
        <is>
          <t>-</t>
        </is>
      </c>
    </row>
    <row r="257">
      <c r="A257" s="23" t="inlineStr">
        <is>
          <t>Trigger Service</t>
        </is>
      </c>
      <c r="B257" s="23" t="inlineStr">
        <is>
          <t>Service (business)</t>
        </is>
      </c>
      <c r="C257" s="23" t="inlineStr">
        <is>
          <t>ZoneMeasurementService</t>
        </is>
      </c>
      <c r="D257" s="23" t="inlineStr">
        <is>
          <t>latestPerZone</t>
        </is>
      </c>
      <c r="E257" s="23" t="inlineStr">
        <is>
          <t>Flux&lt;ZoneMeasurementResponse&gt; latestPerZone()</t>
        </is>
      </c>
      <c r="F257" s="23" t="inlineStr">
        <is>
          <t>-</t>
        </is>
      </c>
    </row>
    <row r="258">
      <c r="A258" s="23" t="inlineStr">
        <is>
          <t>Trigger Service</t>
        </is>
      </c>
      <c r="B258" s="23" t="inlineStr">
        <is>
          <t>Client (outbound REST)</t>
        </is>
      </c>
      <c r="C258" s="23" t="inlineStr">
        <is>
          <t>ClaimsServiceClient</t>
        </is>
      </c>
      <c r="D258" s="23" t="inlineStr">
        <is>
          <t>createClaimsFromTriggerEvent</t>
        </is>
      </c>
      <c r="E258" s="23" t="inlineStr">
        <is>
          <t>Mono&lt;ClaimCreationResponse&gt; createClaimsFromTriggerEvent(ClaimCreationRequest request)</t>
        </is>
      </c>
      <c r="F258" s="23" t="inlineStr">
        <is>
          <t>-</t>
        </is>
      </c>
    </row>
    <row r="259">
      <c r="A259" s="23" t="inlineStr">
        <is>
          <t>Trigger Service</t>
        </is>
      </c>
      <c r="B259" s="23" t="inlineStr">
        <is>
          <t>Client (outbound REST)</t>
        </is>
      </c>
      <c r="C259" s="23" t="inlineStr">
        <is>
          <t>ProductTriggerClient</t>
        </is>
      </c>
      <c r="D259" s="23" t="inlineStr">
        <is>
          <t>getProduct</t>
        </is>
      </c>
      <c r="E259" s="23" t="inlineStr">
        <is>
          <t>Mono&lt;InternalProductConfig&gt; getProduct(Long productId)</t>
        </is>
      </c>
      <c r="F259" s="23" t="inlineStr">
        <is>
          <t>-</t>
        </is>
      </c>
    </row>
    <row r="260">
      <c r="A260" s="23" t="inlineStr">
        <is>
          <t>Trigger Service</t>
        </is>
      </c>
      <c r="B260" s="23" t="inlineStr">
        <is>
          <t>Client (outbound REST)</t>
        </is>
      </c>
      <c r="C260" s="23" t="inlineStr">
        <is>
          <t>ProductTriggerClient</t>
        </is>
      </c>
      <c r="D260" s="23" t="inlineStr">
        <is>
          <t>getActivePolicies</t>
        </is>
      </c>
      <c r="E260" s="23" t="inlineStr">
        <is>
          <t>Flux&lt;org.example.triggerservice.dto.ActivePolicyForTriggerResponse&gt; getActivePolicies(Long productId,Long locationZoneId)</t>
        </is>
      </c>
      <c r="F260" s="23" t="inlineStr">
        <is>
          <t>-</t>
        </is>
      </c>
    </row>
    <row r="261">
      <c r="A261" s="23" t="inlineStr">
        <is>
          <t>Trigger Service</t>
        </is>
      </c>
      <c r="B261" s="23" t="inlineStr">
        <is>
          <t>Client (outbound REST)</t>
        </is>
      </c>
      <c r="C261" s="23" t="inlineStr">
        <is>
          <t>ProductTriggerClient</t>
        </is>
      </c>
      <c r="D261" s="23" t="inlineStr">
        <is>
          <t>hasActivePoliciesForZone</t>
        </is>
      </c>
      <c r="E261" s="23" t="inlineStr">
        <is>
          <t>Mono&lt;Boolean&gt; hasActivePoliciesForZone(Long zoneId)</t>
        </is>
      </c>
      <c r="F261" s="23" t="inlineStr">
        <is>
          <t>-</t>
        </is>
      </c>
    </row>
    <row r="262">
      <c r="A262" s="23" t="inlineStr">
        <is>
          <t>Trigger Service</t>
        </is>
      </c>
      <c r="B262" s="23" t="inlineStr">
        <is>
          <t>Config / Loader / Scheduler</t>
        </is>
      </c>
      <c r="C262" s="23" t="inlineStr">
        <is>
          <t>TriggerDataLoader</t>
        </is>
      </c>
      <c r="D262" s="23" t="inlineStr">
        <is>
          <t>run</t>
        </is>
      </c>
      <c r="E262" s="23" t="inlineStr">
        <is>
          <t>void run(String... args)</t>
        </is>
      </c>
      <c r="F262" s="23" t="inlineStr">
        <is>
          <t>-</t>
        </is>
      </c>
    </row>
    <row r="263">
      <c r="A263" s="23" t="inlineStr">
        <is>
          <t>Trigger Service</t>
        </is>
      </c>
      <c r="B263" s="23" t="inlineStr">
        <is>
          <t>Scheduler</t>
        </is>
      </c>
      <c r="C263" s="23" t="inlineStr">
        <is>
          <t>DemoObservationGenerator</t>
        </is>
      </c>
      <c r="D263" s="23" t="inlineStr">
        <is>
          <t>run</t>
        </is>
      </c>
      <c r="E263" s="23" t="inlineStr">
        <is>
          <t>void run(String... args)</t>
        </is>
      </c>
      <c r="F263" s="23" t="inlineStr">
        <is>
          <t>-</t>
        </is>
      </c>
    </row>
    <row r="264">
      <c r="A264" s="23" t="inlineStr">
        <is>
          <t>Trigger Service</t>
        </is>
      </c>
      <c r="B264" s="23" t="inlineStr">
        <is>
          <t>Scheduler</t>
        </is>
      </c>
      <c r="C264" s="23" t="inlineStr">
        <is>
          <t>DemoObservationGenerator</t>
        </is>
      </c>
      <c r="D264" s="23" t="inlineStr">
        <is>
          <t>generateNextReading</t>
        </is>
      </c>
      <c r="E264" s="23" t="inlineStr">
        <is>
          <t>void generateNextReading()</t>
        </is>
      </c>
      <c r="F264" s="23" t="inlineStr">
        <is>
          <t>fixedDelayString="${demo.feed.interval-ms:60000}"</t>
        </is>
      </c>
    </row>
    <row r="265">
      <c r="A265" s="23" t="inlineStr">
        <is>
          <t>Trigger Service</t>
        </is>
      </c>
      <c r="B265" s="23" t="inlineStr">
        <is>
          <t>Scheduler</t>
        </is>
      </c>
      <c r="C265" s="23" t="inlineStr">
        <is>
          <t>DemoObservationGenerator</t>
        </is>
      </c>
      <c r="D265" s="23" t="inlineStr">
        <is>
          <t>deleteOldReadings</t>
        </is>
      </c>
      <c r="E265" s="23" t="inlineStr">
        <is>
          <t>void deleteOldReadings()</t>
        </is>
      </c>
      <c r="F265" s="23" t="inlineStr">
        <is>
          <t>initialDelayString="${demo.feed.retention-initial-delay-ms:120000}", fixedDelayString="${demo.feed.retention-interval-ms:3600000}"</t>
        </is>
      </c>
    </row>
    <row r="266">
      <c r="A266" s="23" t="inlineStr">
        <is>
          <t>Financial Service</t>
        </is>
      </c>
      <c r="B266" s="23" t="inlineStr">
        <is>
          <t>Handler (HTTP)</t>
        </is>
      </c>
      <c r="C266" s="23" t="inlineStr">
        <is>
          <t>MetricsHandler</t>
        </is>
      </c>
      <c r="D266" s="23" t="inlineStr">
        <is>
          <t>metrics</t>
        </is>
      </c>
      <c r="E266" s="23" t="inlineStr">
        <is>
          <t>Mono&lt;ServerResponse&gt; metrics(ServerRequest request)</t>
        </is>
      </c>
      <c r="F266" s="23" t="inlineStr">
        <is>
          <t>-</t>
        </is>
      </c>
    </row>
    <row r="267">
      <c r="A267" s="23" t="inlineStr">
        <is>
          <t>Financial Service</t>
        </is>
      </c>
      <c r="B267" s="23" t="inlineStr">
        <is>
          <t>Handler (HTTP)</t>
        </is>
      </c>
      <c r="C267" s="23" t="inlineStr">
        <is>
          <t>PaymentHandler</t>
        </is>
      </c>
      <c r="D267" s="23" t="inlineStr">
        <is>
          <t>create</t>
        </is>
      </c>
      <c r="E267" s="23" t="inlineStr">
        <is>
          <t>Mono&lt;ServerResponse&gt; create(ServerRequest request)</t>
        </is>
      </c>
      <c r="F267" s="23" t="inlineStr">
        <is>
          <t>-</t>
        </is>
      </c>
    </row>
    <row r="268">
      <c r="A268" s="23" t="inlineStr">
        <is>
          <t>Financial Service</t>
        </is>
      </c>
      <c r="B268" s="23" t="inlineStr">
        <is>
          <t>Handler (HTTP)</t>
        </is>
      </c>
      <c r="C268" s="23" t="inlineStr">
        <is>
          <t>PaymentHandler</t>
        </is>
      </c>
      <c r="D268" s="23" t="inlineStr">
        <is>
          <t>findMine</t>
        </is>
      </c>
      <c r="E268" s="23" t="inlineStr">
        <is>
          <t>Mono&lt;ServerResponse&gt; findMine(ServerRequest request)</t>
        </is>
      </c>
      <c r="F268" s="23" t="inlineStr">
        <is>
          <t>-</t>
        </is>
      </c>
    </row>
    <row r="269">
      <c r="A269" s="23" t="inlineStr">
        <is>
          <t>Financial Service</t>
        </is>
      </c>
      <c r="B269" s="23" t="inlineStr">
        <is>
          <t>Handler (HTTP)</t>
        </is>
      </c>
      <c r="C269" s="23" t="inlineStr">
        <is>
          <t>PaymentHandler</t>
        </is>
      </c>
      <c r="D269" s="23" t="inlineStr">
        <is>
          <t>findById</t>
        </is>
      </c>
      <c r="E269" s="23" t="inlineStr">
        <is>
          <t>Mono&lt;ServerResponse&gt; findById(ServerRequest request)</t>
        </is>
      </c>
      <c r="F269" s="23" t="inlineStr">
        <is>
          <t>-</t>
        </is>
      </c>
    </row>
    <row r="270">
      <c r="A270" s="23" t="inlineStr">
        <is>
          <t>Financial Service</t>
        </is>
      </c>
      <c r="B270" s="23" t="inlineStr">
        <is>
          <t>Handler (HTTP)</t>
        </is>
      </c>
      <c r="C270" s="23" t="inlineStr">
        <is>
          <t>PaymentHandler</t>
        </is>
      </c>
      <c r="D270" s="23" t="inlineStr">
        <is>
          <t>findAll</t>
        </is>
      </c>
      <c r="E270" s="23" t="inlineStr">
        <is>
          <t>Mono&lt;ServerResponse&gt; findAll(ServerRequest request)</t>
        </is>
      </c>
      <c r="F270" s="23" t="inlineStr">
        <is>
          <t>-</t>
        </is>
      </c>
    </row>
    <row r="271">
      <c r="A271" s="23" t="inlineStr">
        <is>
          <t>Financial Service</t>
        </is>
      </c>
      <c r="B271" s="23" t="inlineStr">
        <is>
          <t>Handler (HTTP)</t>
        </is>
      </c>
      <c r="C271" s="23" t="inlineStr">
        <is>
          <t>PaymentHandler</t>
        </is>
      </c>
      <c r="D271" s="23" t="inlineStr">
        <is>
          <t>refund</t>
        </is>
      </c>
      <c r="E271" s="23" t="inlineStr">
        <is>
          <t>Mono&lt;ServerResponse&gt; refund(ServerRequest request)</t>
        </is>
      </c>
      <c r="F271" s="23" t="inlineStr">
        <is>
          <t>-</t>
        </is>
      </c>
    </row>
    <row r="272">
      <c r="A272" s="23" t="inlineStr">
        <is>
          <t>Financial Service</t>
        </is>
      </c>
      <c r="B272" s="23" t="inlineStr">
        <is>
          <t>Handler (HTTP)</t>
        </is>
      </c>
      <c r="C272" s="23" t="inlineStr">
        <is>
          <t>PaymentHandler</t>
        </is>
      </c>
      <c r="D272" s="23" t="inlineStr">
        <is>
          <t>policyStatus</t>
        </is>
      </c>
      <c r="E272" s="23" t="inlineStr">
        <is>
          <t>Mono&lt;ServerResponse&gt; policyStatus(ServerRequest request)</t>
        </is>
      </c>
      <c r="F272" s="23" t="inlineStr">
        <is>
          <t>-</t>
        </is>
      </c>
    </row>
    <row r="273">
      <c r="A273" s="23" t="inlineStr">
        <is>
          <t>Financial Service</t>
        </is>
      </c>
      <c r="B273" s="23" t="inlineStr">
        <is>
          <t>Handler (HTTP)</t>
        </is>
      </c>
      <c r="C273" s="23" t="inlineStr">
        <is>
          <t>PayoutHandler</t>
        </is>
      </c>
      <c r="D273" s="23" t="inlineStr">
        <is>
          <t>create</t>
        </is>
      </c>
      <c r="E273" s="23" t="inlineStr">
        <is>
          <t>Mono&lt;ServerResponse&gt; create(ServerRequest request)</t>
        </is>
      </c>
      <c r="F273" s="23" t="inlineStr">
        <is>
          <t>-</t>
        </is>
      </c>
    </row>
    <row r="274">
      <c r="A274" s="23" t="inlineStr">
        <is>
          <t>Financial Service</t>
        </is>
      </c>
      <c r="B274" s="23" t="inlineStr">
        <is>
          <t>Handler (HTTP)</t>
        </is>
      </c>
      <c r="C274" s="23" t="inlineStr">
        <is>
          <t>PayoutHandler</t>
        </is>
      </c>
      <c r="D274" s="23" t="inlineStr">
        <is>
          <t>createInternal</t>
        </is>
      </c>
      <c r="E274" s="23" t="inlineStr">
        <is>
          <t>Mono&lt;ServerResponse&gt; createInternal(ServerRequest request)</t>
        </is>
      </c>
      <c r="F274" s="23" t="inlineStr">
        <is>
          <t>-</t>
        </is>
      </c>
    </row>
    <row r="275">
      <c r="A275" s="23" t="inlineStr">
        <is>
          <t>Financial Service</t>
        </is>
      </c>
      <c r="B275" s="23" t="inlineStr">
        <is>
          <t>Handler (HTTP)</t>
        </is>
      </c>
      <c r="C275" s="23" t="inlineStr">
        <is>
          <t>PayoutHandler</t>
        </is>
      </c>
      <c r="D275" s="23" t="inlineStr">
        <is>
          <t>findMine</t>
        </is>
      </c>
      <c r="E275" s="23" t="inlineStr">
        <is>
          <t>Mono&lt;ServerResponse&gt; findMine(ServerRequest request)</t>
        </is>
      </c>
      <c r="F275" s="23" t="inlineStr">
        <is>
          <t>-</t>
        </is>
      </c>
    </row>
    <row r="276">
      <c r="A276" s="23" t="inlineStr">
        <is>
          <t>Financial Service</t>
        </is>
      </c>
      <c r="B276" s="23" t="inlineStr">
        <is>
          <t>Handler (HTTP)</t>
        </is>
      </c>
      <c r="C276" s="23" t="inlineStr">
        <is>
          <t>PayoutHandler</t>
        </is>
      </c>
      <c r="D276" s="23" t="inlineStr">
        <is>
          <t>findById</t>
        </is>
      </c>
      <c r="E276" s="23" t="inlineStr">
        <is>
          <t>Mono&lt;ServerResponse&gt; findById(ServerRequest request)</t>
        </is>
      </c>
      <c r="F276" s="23" t="inlineStr">
        <is>
          <t>-</t>
        </is>
      </c>
    </row>
    <row r="277">
      <c r="A277" s="23" t="inlineStr">
        <is>
          <t>Financial Service</t>
        </is>
      </c>
      <c r="B277" s="23" t="inlineStr">
        <is>
          <t>Handler (HTTP)</t>
        </is>
      </c>
      <c r="C277" s="23" t="inlineStr">
        <is>
          <t>PayoutHandler</t>
        </is>
      </c>
      <c r="D277" s="23" t="inlineStr">
        <is>
          <t>findAll</t>
        </is>
      </c>
      <c r="E277" s="23" t="inlineStr">
        <is>
          <t>Mono&lt;ServerResponse&gt; findAll(ServerRequest request)</t>
        </is>
      </c>
      <c r="F277" s="23" t="inlineStr">
        <is>
          <t>-</t>
        </is>
      </c>
    </row>
    <row r="278">
      <c r="A278" s="23" t="inlineStr">
        <is>
          <t>Financial Service</t>
        </is>
      </c>
      <c r="B278" s="23" t="inlineStr">
        <is>
          <t>Handler (HTTP)</t>
        </is>
      </c>
      <c r="C278" s="23" t="inlineStr">
        <is>
          <t>PayoutHandler</t>
        </is>
      </c>
      <c r="D278" s="23" t="inlineStr">
        <is>
          <t>retry</t>
        </is>
      </c>
      <c r="E278" s="23" t="inlineStr">
        <is>
          <t>Mono&lt;ServerResponse&gt; retry(ServerRequest request)</t>
        </is>
      </c>
      <c r="F278" s="23" t="inlineStr">
        <is>
          <t>-</t>
        </is>
      </c>
    </row>
    <row r="279" ht="25" customHeight="1" s="20">
      <c r="A279" s="23" t="inlineStr">
        <is>
          <t>Financial Service</t>
        </is>
      </c>
      <c r="B279" s="23" t="inlineStr">
        <is>
          <t>Handler (HTTP)</t>
        </is>
      </c>
      <c r="C279" s="23" t="inlineStr">
        <is>
          <t>PayoutReceiptHandler</t>
        </is>
      </c>
      <c r="D279" s="23" t="inlineStr">
        <is>
          <t>customerReceipt</t>
        </is>
      </c>
      <c r="E279" s="23" t="inlineStr">
        <is>
          <t>Mono&lt;ServerResponse&gt; customerReceipt(ServerRequest request)</t>
        </is>
      </c>
      <c r="F279" s="23" t="inlineStr">
        <is>
          <t>-</t>
        </is>
      </c>
    </row>
    <row r="280">
      <c r="A280" s="23" t="inlineStr">
        <is>
          <t>Financial Service</t>
        </is>
      </c>
      <c r="B280" s="23" t="inlineStr">
        <is>
          <t>Handler (HTTP)</t>
        </is>
      </c>
      <c r="C280" s="23" t="inlineStr">
        <is>
          <t>PayoutReceiptHandler</t>
        </is>
      </c>
      <c r="D280" s="23" t="inlineStr">
        <is>
          <t>adminReceipt</t>
        </is>
      </c>
      <c r="E280" s="23" t="inlineStr">
        <is>
          <t>Mono&lt;ServerResponse&gt; adminReceipt(ServerRequest request)</t>
        </is>
      </c>
      <c r="F280" s="23" t="inlineStr">
        <is>
          <t>-</t>
        </is>
      </c>
    </row>
    <row r="281">
      <c r="A281" s="23" t="inlineStr">
        <is>
          <t>Financial Service</t>
        </is>
      </c>
      <c r="B281" s="23" t="inlineStr">
        <is>
          <t>Handler (HTTP)</t>
        </is>
      </c>
      <c r="C281" s="23" t="inlineStr">
        <is>
          <t>PricingRuleHandler</t>
        </is>
      </c>
      <c r="D281" s="23" t="inlineStr">
        <is>
          <t>create</t>
        </is>
      </c>
      <c r="E281" s="23" t="inlineStr">
        <is>
          <t>Mono&lt;ServerResponse&gt; create(ServerRequest request)</t>
        </is>
      </c>
      <c r="F281" s="23" t="inlineStr">
        <is>
          <t>-</t>
        </is>
      </c>
    </row>
    <row r="282">
      <c r="A282" s="23" t="inlineStr">
        <is>
          <t>Financial Service</t>
        </is>
      </c>
      <c r="B282" s="23" t="inlineStr">
        <is>
          <t>Handler (HTTP)</t>
        </is>
      </c>
      <c r="C282" s="23" t="inlineStr">
        <is>
          <t>PricingRuleHandler</t>
        </is>
      </c>
      <c r="D282" s="23" t="inlineStr">
        <is>
          <t>findAll</t>
        </is>
      </c>
      <c r="E282" s="23" t="inlineStr">
        <is>
          <t>Mono&lt;ServerResponse&gt; findAll(ServerRequest request)</t>
        </is>
      </c>
      <c r="F282" s="23" t="inlineStr">
        <is>
          <t>-</t>
        </is>
      </c>
    </row>
    <row r="283">
      <c r="A283" s="23" t="inlineStr">
        <is>
          <t>Financial Service</t>
        </is>
      </c>
      <c r="B283" s="23" t="inlineStr">
        <is>
          <t>Handler (HTTP)</t>
        </is>
      </c>
      <c r="C283" s="23" t="inlineStr">
        <is>
          <t>PricingRuleHandler</t>
        </is>
      </c>
      <c r="D283" s="23" t="inlineStr">
        <is>
          <t>findById</t>
        </is>
      </c>
      <c r="E283" s="23" t="inlineStr">
        <is>
          <t>Mono&lt;ServerResponse&gt; findById(ServerRequest request)</t>
        </is>
      </c>
      <c r="F283" s="23" t="inlineStr">
        <is>
          <t>-</t>
        </is>
      </c>
    </row>
    <row r="284">
      <c r="A284" s="23" t="inlineStr">
        <is>
          <t>Financial Service</t>
        </is>
      </c>
      <c r="B284" s="23" t="inlineStr">
        <is>
          <t>Handler (HTTP)</t>
        </is>
      </c>
      <c r="C284" s="23" t="inlineStr">
        <is>
          <t>PricingRuleHandler</t>
        </is>
      </c>
      <c r="D284" s="23" t="inlineStr">
        <is>
          <t>update</t>
        </is>
      </c>
      <c r="E284" s="23" t="inlineStr">
        <is>
          <t>Mono&lt;ServerResponse&gt; update(ServerRequest request)</t>
        </is>
      </c>
      <c r="F284" s="23" t="inlineStr">
        <is>
          <t>-</t>
        </is>
      </c>
    </row>
    <row r="285">
      <c r="A285" s="23" t="inlineStr">
        <is>
          <t>Financial Service</t>
        </is>
      </c>
      <c r="B285" s="23" t="inlineStr">
        <is>
          <t>Handler (HTTP)</t>
        </is>
      </c>
      <c r="C285" s="23" t="inlineStr">
        <is>
          <t>PricingRuleHandler</t>
        </is>
      </c>
      <c r="D285" s="23" t="inlineStr">
        <is>
          <t>updateStatus</t>
        </is>
      </c>
      <c r="E285" s="23" t="inlineStr">
        <is>
          <t>Mono&lt;ServerResponse&gt; updateStatus(ServerRequest request)</t>
        </is>
      </c>
      <c r="F285" s="23" t="inlineStr">
        <is>
          <t>-</t>
        </is>
      </c>
    </row>
    <row r="286">
      <c r="A286" s="23" t="inlineStr">
        <is>
          <t>Financial Service</t>
        </is>
      </c>
      <c r="B286" s="23" t="inlineStr">
        <is>
          <t>Handler (HTTP)</t>
        </is>
      </c>
      <c r="C286" s="23" t="inlineStr">
        <is>
          <t>PricingRuleHandler</t>
        </is>
      </c>
      <c r="D286" s="23" t="inlineStr">
        <is>
          <t>archive</t>
        </is>
      </c>
      <c r="E286" s="23" t="inlineStr">
        <is>
          <t>Mono&lt;ServerResponse&gt; archive(ServerRequest request)</t>
        </is>
      </c>
      <c r="F286" s="23" t="inlineStr">
        <is>
          <t>-</t>
        </is>
      </c>
    </row>
    <row r="287">
      <c r="A287" s="23" t="inlineStr">
        <is>
          <t>Financial Service</t>
        </is>
      </c>
      <c r="B287" s="23" t="inlineStr">
        <is>
          <t>Handler (HTTP)</t>
        </is>
      </c>
      <c r="C287" s="23" t="inlineStr">
        <is>
          <t>QuoteHandler</t>
        </is>
      </c>
      <c r="D287" s="23" t="inlineStr">
        <is>
          <t>create</t>
        </is>
      </c>
      <c r="E287" s="23" t="inlineStr">
        <is>
          <t>Mono&lt;ServerResponse&gt; create(ServerRequest request)</t>
        </is>
      </c>
      <c r="F287" s="23" t="inlineStr">
        <is>
          <t>-</t>
        </is>
      </c>
    </row>
    <row r="288">
      <c r="A288" s="23" t="inlineStr">
        <is>
          <t>Financial Service</t>
        </is>
      </c>
      <c r="B288" s="23" t="inlineStr">
        <is>
          <t>Handler (HTTP)</t>
        </is>
      </c>
      <c r="C288" s="23" t="inlineStr">
        <is>
          <t>QuoteHandler</t>
        </is>
      </c>
      <c r="D288" s="23" t="inlineStr">
        <is>
          <t>findMine</t>
        </is>
      </c>
      <c r="E288" s="23" t="inlineStr">
        <is>
          <t>Mono&lt;ServerResponse&gt; findMine(ServerRequest request)</t>
        </is>
      </c>
      <c r="F288" s="23" t="inlineStr">
        <is>
          <t>-</t>
        </is>
      </c>
    </row>
    <row r="289">
      <c r="A289" s="23" t="inlineStr">
        <is>
          <t>Financial Service</t>
        </is>
      </c>
      <c r="B289" s="23" t="inlineStr">
        <is>
          <t>Handler (HTTP)</t>
        </is>
      </c>
      <c r="C289" s="23" t="inlineStr">
        <is>
          <t>QuoteHandler</t>
        </is>
      </c>
      <c r="D289" s="23" t="inlineStr">
        <is>
          <t>findById</t>
        </is>
      </c>
      <c r="E289" s="23" t="inlineStr">
        <is>
          <t>Mono&lt;ServerResponse&gt; findById(ServerRequest request)</t>
        </is>
      </c>
      <c r="F289" s="23" t="inlineStr">
        <is>
          <t>-</t>
        </is>
      </c>
    </row>
    <row r="290">
      <c r="A290" s="23" t="inlineStr">
        <is>
          <t>Financial Service</t>
        </is>
      </c>
      <c r="B290" s="23" t="inlineStr">
        <is>
          <t>Handler (HTTP)</t>
        </is>
      </c>
      <c r="C290" s="23" t="inlineStr">
        <is>
          <t>QuoteHandler</t>
        </is>
      </c>
      <c r="D290" s="23" t="inlineStr">
        <is>
          <t>accept</t>
        </is>
      </c>
      <c r="E290" s="23" t="inlineStr">
        <is>
          <t>Mono&lt;ServerResponse&gt; accept(ServerRequest request)</t>
        </is>
      </c>
      <c r="F290" s="23" t="inlineStr">
        <is>
          <t>-</t>
        </is>
      </c>
    </row>
    <row r="291" ht="25" customHeight="1" s="20">
      <c r="A291" s="23" t="inlineStr">
        <is>
          <t>Financial Service</t>
        </is>
      </c>
      <c r="B291" s="23" t="inlineStr">
        <is>
          <t>Handler (HTTP)</t>
        </is>
      </c>
      <c r="C291" s="23" t="inlineStr">
        <is>
          <t>QuoteHandler</t>
        </is>
      </c>
      <c r="D291" s="23" t="inlineStr">
        <is>
          <t>cancel</t>
        </is>
      </c>
      <c r="E291" s="23" t="inlineStr">
        <is>
          <t>Mono&lt;ServerResponse&gt; cancel(ServerRequest request)</t>
        </is>
      </c>
      <c r="F291" s="23" t="inlineStr">
        <is>
          <t>-</t>
        </is>
      </c>
    </row>
    <row r="292">
      <c r="A292" s="23" t="inlineStr">
        <is>
          <t>Financial Service</t>
        </is>
      </c>
      <c r="B292" s="23" t="inlineStr">
        <is>
          <t>Handler (HTTP)</t>
        </is>
      </c>
      <c r="C292" s="23" t="inlineStr">
        <is>
          <t>QuoteHandler</t>
        </is>
      </c>
      <c r="D292" s="23" t="inlineStr">
        <is>
          <t>priceInternal</t>
        </is>
      </c>
      <c r="E292" s="23" t="inlineStr">
        <is>
          <t>Mono&lt;ServerResponse&gt; priceInternal(ServerRequest request)</t>
        </is>
      </c>
      <c r="F292" s="23" t="inlineStr">
        <is>
          <t>-</t>
        </is>
      </c>
    </row>
    <row r="293">
      <c r="A293" s="23" t="inlineStr">
        <is>
          <t>Financial Service</t>
        </is>
      </c>
      <c r="B293" s="23" t="inlineStr">
        <is>
          <t>Handler (HTTP)</t>
        </is>
      </c>
      <c r="C293" s="23" t="inlineStr">
        <is>
          <t>QuoteHandler</t>
        </is>
      </c>
      <c r="D293" s="23" t="inlineStr">
        <is>
          <t>validateInternal</t>
        </is>
      </c>
      <c r="E293" s="23" t="inlineStr">
        <is>
          <t>Mono&lt;ServerResponse&gt; validateInternal(ServerRequest request)</t>
        </is>
      </c>
      <c r="F293" s="23" t="inlineStr">
        <is>
          <t>-</t>
        </is>
      </c>
    </row>
    <row r="294" ht="25" customHeight="1" s="20">
      <c r="A294" s="23" t="inlineStr">
        <is>
          <t>Financial Service</t>
        </is>
      </c>
      <c r="B294" s="23" t="inlineStr">
        <is>
          <t>Handler (HTTP)</t>
        </is>
      </c>
      <c r="C294" s="23" t="inlineStr">
        <is>
          <t>QuoteHandler</t>
        </is>
      </c>
      <c r="D294" s="23" t="inlineStr">
        <is>
          <t>consumeInternal</t>
        </is>
      </c>
      <c r="E294" s="23" t="inlineStr">
        <is>
          <t>Mono&lt;ServerResponse&gt; consumeInternal(ServerRequest request)</t>
        </is>
      </c>
      <c r="F294" s="23" t="inlineStr">
        <is>
          <t>-</t>
        </is>
      </c>
    </row>
    <row r="295">
      <c r="A295" s="23" t="inlineStr">
        <is>
          <t>Financial Service</t>
        </is>
      </c>
      <c r="B295" s="23" t="inlineStr">
        <is>
          <t>Service (business)</t>
        </is>
      </c>
      <c r="C295" s="23" t="inlineStr">
        <is>
          <t>DefaultPricingRuleProvisioner</t>
        </is>
      </c>
      <c r="D295" s="23" t="inlineStr">
        <is>
          <t>provisionMissingRules</t>
        </is>
      </c>
      <c r="E295" s="23" t="inlineStr">
        <is>
          <t>Mono&lt;Void&gt; provisionMissingRules()</t>
        </is>
      </c>
      <c r="F295" s="23" t="inlineStr">
        <is>
          <t>-</t>
        </is>
      </c>
    </row>
    <row r="296">
      <c r="A296" s="23" t="inlineStr">
        <is>
          <t>Financial Service</t>
        </is>
      </c>
      <c r="B296" s="23" t="inlineStr">
        <is>
          <t>Service (business)</t>
        </is>
      </c>
      <c r="C296" s="23" t="inlineStr">
        <is>
          <t>FinancialTransactionService</t>
        </is>
      </c>
      <c r="D296" s="23" t="inlineStr">
        <is>
          <t>recordPayment</t>
        </is>
      </c>
      <c r="E296" s="23" t="inlineStr">
        <is>
          <t>Mono&lt;FinancialTransaction&gt; recordPayment(Long customerId, Long policyId, Long quoteId, Long paymentId, BigDecimal amount, String status)</t>
        </is>
      </c>
      <c r="F296" s="23" t="inlineStr">
        <is>
          <t>-</t>
        </is>
      </c>
    </row>
    <row r="297">
      <c r="A297" s="23" t="inlineStr">
        <is>
          <t>Financial Service</t>
        </is>
      </c>
      <c r="B297" s="23" t="inlineStr">
        <is>
          <t>Service (business)</t>
        </is>
      </c>
      <c r="C297" s="23" t="inlineStr">
        <is>
          <t>FinancialTransactionService</t>
        </is>
      </c>
      <c r="D297" s="23" t="inlineStr">
        <is>
          <t>recordRefund</t>
        </is>
      </c>
      <c r="E297" s="23" t="inlineStr">
        <is>
          <t>Mono&lt;FinancialTransaction&gt; recordRefund(Long customerId, Long policyId, Long paymentId, BigDecimal amount)</t>
        </is>
      </c>
      <c r="F297" s="23" t="inlineStr">
        <is>
          <t>-</t>
        </is>
      </c>
    </row>
    <row r="298">
      <c r="A298" s="23" t="inlineStr">
        <is>
          <t>Financial Service</t>
        </is>
      </c>
      <c r="B298" s="23" t="inlineStr">
        <is>
          <t>Service (business)</t>
        </is>
      </c>
      <c r="C298" s="23" t="inlineStr">
        <is>
          <t>FinancialTransactionService</t>
        </is>
      </c>
      <c r="D298" s="23" t="inlineStr">
        <is>
          <t>recordPayout</t>
        </is>
      </c>
      <c r="E298" s="23" t="inlineStr">
        <is>
          <t>Mono&lt;FinancialTransaction&gt; recordPayout(Long customerId, Long policyId, Long payoutId, Long claimId, BigDecimal amount, String status)</t>
        </is>
      </c>
      <c r="F298" s="23" t="inlineStr">
        <is>
          <t>-</t>
        </is>
      </c>
    </row>
    <row r="299">
      <c r="A299" s="23" t="inlineStr">
        <is>
          <t>Financial Service</t>
        </is>
      </c>
      <c r="B299" s="23" t="inlineStr">
        <is>
          <t>Service (business)</t>
        </is>
      </c>
      <c r="C299" s="23" t="inlineStr">
        <is>
          <t>MetricsService</t>
        </is>
      </c>
      <c r="D299" s="23" t="inlineStr">
        <is>
          <t>metrics</t>
        </is>
      </c>
      <c r="E299" s="23" t="inlineStr">
        <is>
          <t>Mono&lt;MetricsResponse&gt; metrics()</t>
        </is>
      </c>
      <c r="F299" s="23" t="inlineStr">
        <is>
          <t>-</t>
        </is>
      </c>
    </row>
    <row r="300">
      <c r="A300" s="23" t="inlineStr">
        <is>
          <t>Financial Service</t>
        </is>
      </c>
      <c r="B300" s="23" t="inlineStr">
        <is>
          <t>Service (business)</t>
        </is>
      </c>
      <c r="C300" s="23" t="inlineStr">
        <is>
          <t>NotificationService</t>
        </is>
      </c>
      <c r="D300" s="23" t="inlineStr">
        <is>
          <t>notifyPaymentSuccess</t>
        </is>
      </c>
      <c r="E300" s="23" t="inlineStr">
        <is>
          <t>Mono&lt;Void&gt; notifyPaymentSuccess(Long customerId, String reference, BigDecimal amount)</t>
        </is>
      </c>
      <c r="F300" s="23" t="inlineStr">
        <is>
          <t>-</t>
        </is>
      </c>
    </row>
    <row r="301">
      <c r="A301" s="23" t="inlineStr">
        <is>
          <t>Financial Service</t>
        </is>
      </c>
      <c r="B301" s="23" t="inlineStr">
        <is>
          <t>Service (business)</t>
        </is>
      </c>
      <c r="C301" s="23" t="inlineStr">
        <is>
          <t>NotificationService</t>
        </is>
      </c>
      <c r="D301" s="23" t="inlineStr">
        <is>
          <t>notifyPayoutProcessed</t>
        </is>
      </c>
      <c r="E301" s="23" t="inlineStr">
        <is>
          <t>Mono&lt;Void&gt; notifyPayoutProcessed(Long customerId, String reference, BigDecimal amount)</t>
        </is>
      </c>
      <c r="F301" s="23" t="inlineStr">
        <is>
          <t>-</t>
        </is>
      </c>
    </row>
    <row r="302">
      <c r="A302" s="23" t="inlineStr">
        <is>
          <t>Financial Service</t>
        </is>
      </c>
      <c r="B302" s="23" t="inlineStr">
        <is>
          <t>Service (business)</t>
        </is>
      </c>
      <c r="C302" s="23" t="inlineStr">
        <is>
          <t>NotificationService</t>
        </is>
      </c>
      <c r="D302" s="23" t="inlineStr">
        <is>
          <t>notifyPayoutFailed</t>
        </is>
      </c>
      <c r="E302" s="23" t="inlineStr">
        <is>
          <t>Mono&lt;Void&gt; notifyPayoutFailed(Long customerId, String reference, String reason)</t>
        </is>
      </c>
      <c r="F302" s="23" t="inlineStr">
        <is>
          <t>-</t>
        </is>
      </c>
    </row>
    <row r="303">
      <c r="A303" s="23" t="inlineStr">
        <is>
          <t>Financial Service</t>
        </is>
      </c>
      <c r="B303" s="23" t="inlineStr">
        <is>
          <t>Service (business)</t>
        </is>
      </c>
      <c r="C303" s="23" t="inlineStr">
        <is>
          <t>NotificationService</t>
        </is>
      </c>
      <c r="D303" s="23" t="inlineStr">
        <is>
          <t>notifyPaymentRefunded</t>
        </is>
      </c>
      <c r="E303" s="23" t="inlineStr">
        <is>
          <t>Mono&lt;Void&gt; notifyPaymentRefunded(Long customerId, String reference, BigDecimal amount)</t>
        </is>
      </c>
      <c r="F303" s="23" t="inlineStr">
        <is>
          <t>-</t>
        </is>
      </c>
    </row>
    <row r="304">
      <c r="A304" s="23" t="inlineStr">
        <is>
          <t>Financial Service</t>
        </is>
      </c>
      <c r="B304" s="23" t="inlineStr">
        <is>
          <t>Service (business)</t>
        </is>
      </c>
      <c r="C304" s="23" t="inlineStr">
        <is>
          <t>NotificationService</t>
        </is>
      </c>
      <c r="D304" s="23" t="inlineStr">
        <is>
          <t>notifyPayoutPending</t>
        </is>
      </c>
      <c r="E304" s="23" t="inlineStr">
        <is>
          <t>Mono&lt;Void&gt; notifyPayoutPending(Long customerId, String reference, BigDecimal amount)</t>
        </is>
      </c>
      <c r="F304" s="23" t="inlineStr">
        <is>
          <t>-</t>
        </is>
      </c>
    </row>
    <row r="305">
      <c r="A305" s="23" t="inlineStr">
        <is>
          <t>Financial Service</t>
        </is>
      </c>
      <c r="B305" s="23" t="inlineStr">
        <is>
          <t>Service (business)</t>
        </is>
      </c>
      <c r="C305" s="23" t="inlineStr">
        <is>
          <t>NotificationService</t>
        </is>
      </c>
      <c r="D305" s="23" t="inlineStr">
        <is>
          <t>notifyPayoutRetry</t>
        </is>
      </c>
      <c r="E305" s="23" t="inlineStr">
        <is>
          <t>Mono&lt;Void&gt; notifyPayoutRetry(Long customerId, String reference, BigDecimal amount, Integer retryCount)</t>
        </is>
      </c>
      <c r="F305" s="23" t="inlineStr">
        <is>
          <t>-</t>
        </is>
      </c>
    </row>
    <row r="306">
      <c r="A306" s="23" t="inlineStr">
        <is>
          <t>Financial Service</t>
        </is>
      </c>
      <c r="B306" s="23" t="inlineStr">
        <is>
          <t>Service (business)</t>
        </is>
      </c>
      <c r="C306" s="23" t="inlineStr">
        <is>
          <t>NotificationService</t>
        </is>
      </c>
      <c r="D306" s="23" t="inlineStr">
        <is>
          <t>notifyQuoteCreated</t>
        </is>
      </c>
      <c r="E306" s="23" t="inlineStr">
        <is>
          <t>Mono&lt;Void&gt; notifyQuoteCreated(Long customerId, String reference, BigDecimal premium, Long quoteId)</t>
        </is>
      </c>
      <c r="F306" s="23" t="inlineStr">
        <is>
          <t>-</t>
        </is>
      </c>
    </row>
    <row r="307">
      <c r="A307" s="23" t="inlineStr">
        <is>
          <t>Financial Service</t>
        </is>
      </c>
      <c r="B307" s="23" t="inlineStr">
        <is>
          <t>Service (business)</t>
        </is>
      </c>
      <c r="C307" s="23" t="inlineStr">
        <is>
          <t>NotificationService</t>
        </is>
      </c>
      <c r="D307" s="23" t="inlineStr">
        <is>
          <t>notifyQuoteExpired</t>
        </is>
      </c>
      <c r="E307" s="23" t="inlineStr">
        <is>
          <t>Mono&lt;Void&gt; notifyQuoteExpired(Long customerId, String reference, Long quoteId)</t>
        </is>
      </c>
      <c r="F307" s="23" t="inlineStr">
        <is>
          <t>-</t>
        </is>
      </c>
    </row>
    <row r="308">
      <c r="A308" s="23" t="inlineStr">
        <is>
          <t>Financial Service</t>
        </is>
      </c>
      <c r="B308" s="23" t="inlineStr">
        <is>
          <t>Service (business)</t>
        </is>
      </c>
      <c r="C308" s="23" t="inlineStr">
        <is>
          <t>NotificationService</t>
        </is>
      </c>
      <c r="D308" s="23" t="inlineStr">
        <is>
          <t>notifyQuoteConsumed</t>
        </is>
      </c>
      <c r="E308" s="23" t="inlineStr">
        <is>
          <t>Mono&lt;Void&gt; notifyQuoteConsumed(Long customerId, String reference, String policyNumber, Long quoteId)</t>
        </is>
      </c>
      <c r="F308" s="23" t="inlineStr">
        <is>
          <t>-</t>
        </is>
      </c>
    </row>
    <row r="309">
      <c r="A309" s="23" t="inlineStr">
        <is>
          <t>Financial Service</t>
        </is>
      </c>
      <c r="B309" s="23" t="inlineStr">
        <is>
          <t>Service (business)</t>
        </is>
      </c>
      <c r="C309" s="23" t="inlineStr">
        <is>
          <t>NotificationService</t>
        </is>
      </c>
      <c r="D309" s="23" t="inlineStr">
        <is>
          <t>notifyPremiumDue</t>
        </is>
      </c>
      <c r="E309" s="23" t="inlineStr">
        <is>
          <t>Mono&lt;Void&gt; notifyPremiumDue(Long customerId, String policyNumber, BigDecimal amount, LocalDate dueDate)</t>
        </is>
      </c>
      <c r="F309" s="23" t="inlineStr">
        <is>
          <t>-</t>
        </is>
      </c>
    </row>
    <row r="310">
      <c r="A310" s="23" t="inlineStr">
        <is>
          <t>Financial Service</t>
        </is>
      </c>
      <c r="B310" s="23" t="inlineStr">
        <is>
          <t>Service (business)</t>
        </is>
      </c>
      <c r="C310" s="23" t="inlineStr">
        <is>
          <t>NotificationService</t>
        </is>
      </c>
      <c r="D310" s="23" t="inlineStr">
        <is>
          <t>notifyPremiumOverdue</t>
        </is>
      </c>
      <c r="E310" s="23" t="inlineStr">
        <is>
          <t>Mono&lt;Void&gt; notifyPremiumOverdue(Long customerId, String policyNumber, BigDecimal amount, LocalDate dueDate)</t>
        </is>
      </c>
      <c r="F310" s="23" t="inlineStr">
        <is>
          <t>-</t>
        </is>
      </c>
    </row>
    <row r="311">
      <c r="A311" s="23" t="inlineStr">
        <is>
          <t>Financial Service</t>
        </is>
      </c>
      <c r="B311" s="23" t="inlineStr">
        <is>
          <t>Service (business)</t>
        </is>
      </c>
      <c r="C311" s="23" t="inlineStr">
        <is>
          <t>NotificationService</t>
        </is>
      </c>
      <c r="D311" s="23" t="inlineStr">
        <is>
          <t>notifyRefundProcessed</t>
        </is>
      </c>
      <c r="E311" s="23" t="inlineStr">
        <is>
          <t>Mono&lt;Void&gt; notifyRefundProcessed(Long customerId, String reference, BigDecimal amount)</t>
        </is>
      </c>
      <c r="F311" s="23" t="inlineStr">
        <is>
          <t>-</t>
        </is>
      </c>
    </row>
    <row r="312">
      <c r="A312" s="23" t="inlineStr">
        <is>
          <t>Financial Service</t>
        </is>
      </c>
      <c r="B312" s="23" t="inlineStr">
        <is>
          <t>Service (business)</t>
        </is>
      </c>
      <c r="C312" s="23" t="inlineStr">
        <is>
          <t>NotificationService</t>
        </is>
      </c>
      <c r="D312" s="23" t="inlineStr">
        <is>
          <t>notifyReconciliationCompleted</t>
        </is>
      </c>
      <c r="E312" s="23" t="inlineStr">
        <is>
          <t>Mono&lt;Void&gt; notifyReconciliationCompleted(String reference)</t>
        </is>
      </c>
      <c r="F312" s="23" t="inlineStr">
        <is>
          <t>-</t>
        </is>
      </c>
    </row>
    <row r="313">
      <c r="A313" s="23" t="inlineStr">
        <is>
          <t>Financial Service</t>
        </is>
      </c>
      <c r="B313" s="23" t="inlineStr">
        <is>
          <t>Service (business)</t>
        </is>
      </c>
      <c r="C313" s="23" t="inlineStr">
        <is>
          <t>NotificationService</t>
        </is>
      </c>
      <c r="D313" s="23" t="inlineStr">
        <is>
          <t>notifyReconciliationDiscrepancy</t>
        </is>
      </c>
      <c r="E313" s="23" t="inlineStr">
        <is>
          <t>Mono&lt;Void&gt; notifyReconciliationDiscrepancy(String reference, int discrepancyCount)</t>
        </is>
      </c>
      <c r="F313" s="23" t="inlineStr">
        <is>
          <t>-</t>
        </is>
      </c>
    </row>
    <row r="314">
      <c r="A314" s="23" t="inlineStr">
        <is>
          <t>Financial Service</t>
        </is>
      </c>
      <c r="B314" s="23" t="inlineStr">
        <is>
          <t>Service (business)</t>
        </is>
      </c>
      <c r="C314" s="23" t="inlineStr">
        <is>
          <t>NotificationService</t>
        </is>
      </c>
      <c r="D314" s="23" t="inlineStr">
        <is>
          <t>notifyPricingRuleCreated</t>
        </is>
      </c>
      <c r="E314" s="23" t="inlineStr">
        <is>
          <t>Mono&lt;Void&gt; notifyPricingRuleCreated(Long actorId, Long productId, Long ruleId)</t>
        </is>
      </c>
      <c r="F314" s="23" t="inlineStr">
        <is>
          <t>-</t>
        </is>
      </c>
    </row>
    <row r="315">
      <c r="A315" s="23" t="inlineStr">
        <is>
          <t>Financial Service</t>
        </is>
      </c>
      <c r="B315" s="23" t="inlineStr">
        <is>
          <t>Service (business)</t>
        </is>
      </c>
      <c r="C315" s="23" t="inlineStr">
        <is>
          <t>NotificationService</t>
        </is>
      </c>
      <c r="D315" s="23" t="inlineStr">
        <is>
          <t>notifyPricingRuleUpdated</t>
        </is>
      </c>
      <c r="E315" s="23" t="inlineStr">
        <is>
          <t>Mono&lt;Void&gt; notifyPricingRuleUpdated(Long actorId, Long productId, Long ruleId)</t>
        </is>
      </c>
      <c r="F315" s="23" t="inlineStr">
        <is>
          <t>-</t>
        </is>
      </c>
    </row>
    <row r="316">
      <c r="A316" s="23" t="inlineStr">
        <is>
          <t>Financial Service</t>
        </is>
      </c>
      <c r="B316" s="23" t="inlineStr">
        <is>
          <t>Service (business)</t>
        </is>
      </c>
      <c r="C316" s="23" t="inlineStr">
        <is>
          <t>PaymentService</t>
        </is>
      </c>
      <c r="D316" s="23" t="inlineStr">
        <is>
          <t>create</t>
        </is>
      </c>
      <c r="E316" s="23" t="inlineStr">
        <is>
          <t>Mono&lt;PaymentResponse&gt; create(PaymentRequest request)</t>
        </is>
      </c>
      <c r="F316" s="23" t="inlineStr">
        <is>
          <t>-</t>
        </is>
      </c>
    </row>
    <row r="317">
      <c r="A317" s="23" t="inlineStr">
        <is>
          <t>Financial Service</t>
        </is>
      </c>
      <c r="B317" s="23" t="inlineStr">
        <is>
          <t>Service (business)</t>
        </is>
      </c>
      <c r="C317" s="23" t="inlineStr">
        <is>
          <t>PaymentService</t>
        </is>
      </c>
      <c r="D317" s="23" t="inlineStr">
        <is>
          <t>findById</t>
        </is>
      </c>
      <c r="E317" s="23" t="inlineStr">
        <is>
          <t>Mono&lt;PaymentResponse&gt; findById(Long paymentId)</t>
        </is>
      </c>
      <c r="F317" s="23" t="inlineStr">
        <is>
          <t>-</t>
        </is>
      </c>
    </row>
    <row r="318">
      <c r="A318" s="23" t="inlineStr">
        <is>
          <t>Financial Service</t>
        </is>
      </c>
      <c r="B318" s="23" t="inlineStr">
        <is>
          <t>Service (business)</t>
        </is>
      </c>
      <c r="C318" s="23" t="inlineStr">
        <is>
          <t>PaymentService</t>
        </is>
      </c>
      <c r="D318" s="23" t="inlineStr">
        <is>
          <t>findMine</t>
        </is>
      </c>
      <c r="E318" s="23" t="inlineStr">
        <is>
          <t>Flux&lt;PaymentResponse&gt; findMine()</t>
        </is>
      </c>
      <c r="F318" s="23" t="inlineStr">
        <is>
          <t>-</t>
        </is>
      </c>
    </row>
    <row r="319">
      <c r="A319" s="23" t="inlineStr">
        <is>
          <t>Financial Service</t>
        </is>
      </c>
      <c r="B319" s="23" t="inlineStr">
        <is>
          <t>Service (business)</t>
        </is>
      </c>
      <c r="C319" s="23" t="inlineStr">
        <is>
          <t>PaymentService</t>
        </is>
      </c>
      <c r="D319" s="23" t="inlineStr">
        <is>
          <t>findAll</t>
        </is>
      </c>
      <c r="E319" s="23" t="inlineStr">
        <is>
          <t>Flux&lt;PaymentResponse&gt; findAll()</t>
        </is>
      </c>
      <c r="F319" s="23" t="inlineStr">
        <is>
          <t>-</t>
        </is>
      </c>
    </row>
    <row r="320">
      <c r="A320" s="23" t="inlineStr">
        <is>
          <t>Financial Service</t>
        </is>
      </c>
      <c r="B320" s="23" t="inlineStr">
        <is>
          <t>Service (business)</t>
        </is>
      </c>
      <c r="C320" s="23" t="inlineStr">
        <is>
          <t>PaymentService</t>
        </is>
      </c>
      <c r="D320" s="23" t="inlineStr">
        <is>
          <t>refund</t>
        </is>
      </c>
      <c r="E320" s="23" t="inlineStr">
        <is>
          <t>Mono&lt;PaymentResponse&gt; refund(Long paymentId)</t>
        </is>
      </c>
      <c r="F320" s="23" t="inlineStr">
        <is>
          <t>-</t>
        </is>
      </c>
    </row>
    <row r="321">
      <c r="A321" s="23" t="inlineStr">
        <is>
          <t>Financial Service</t>
        </is>
      </c>
      <c r="B321" s="23" t="inlineStr">
        <is>
          <t>Service (business)</t>
        </is>
      </c>
      <c r="C321" s="23" t="inlineStr">
        <is>
          <t>PaymentService</t>
        </is>
      </c>
      <c r="D321" s="23" t="inlineStr">
        <is>
          <t>policyStatus</t>
        </is>
      </c>
      <c r="E321" s="23" t="inlineStr">
        <is>
          <t>Mono&lt;PaymentStatusResult&gt; policyStatus(Long policyId,String policyNumber)</t>
        </is>
      </c>
      <c r="F321" s="23" t="inlineStr">
        <is>
          <t>-</t>
        </is>
      </c>
    </row>
    <row r="322">
      <c r="A322" s="23" t="inlineStr">
        <is>
          <t>Financial Service</t>
        </is>
      </c>
      <c r="B322" s="23" t="inlineStr">
        <is>
          <t>Service (business)</t>
        </is>
      </c>
      <c r="C322" s="23" t="inlineStr">
        <is>
          <t>PayoutReceiptService</t>
        </is>
      </c>
      <c r="D322" s="23" t="inlineStr">
        <is>
          <t>receiptForCustomer</t>
        </is>
      </c>
      <c r="E322" s="23" t="inlineStr">
        <is>
          <t>Mono&lt;Receipt&gt; receiptForCustomer(Long payoutId)</t>
        </is>
      </c>
      <c r="F322" s="23" t="inlineStr">
        <is>
          <t>-</t>
        </is>
      </c>
    </row>
    <row r="323">
      <c r="A323" s="23" t="inlineStr">
        <is>
          <t>Financial Service</t>
        </is>
      </c>
      <c r="B323" s="23" t="inlineStr">
        <is>
          <t>Service (business)</t>
        </is>
      </c>
      <c r="C323" s="23" t="inlineStr">
        <is>
          <t>PayoutReceiptService</t>
        </is>
      </c>
      <c r="D323" s="23" t="inlineStr">
        <is>
          <t>receiptForAdmin</t>
        </is>
      </c>
      <c r="E323" s="23" t="inlineStr">
        <is>
          <t>Mono&lt;Receipt&gt; receiptForAdmin(Long payoutId)</t>
        </is>
      </c>
      <c r="F323" s="23" t="inlineStr">
        <is>
          <t>-</t>
        </is>
      </c>
    </row>
    <row r="324">
      <c r="A324" s="23" t="inlineStr">
        <is>
          <t>Financial Service</t>
        </is>
      </c>
      <c r="B324" s="23" t="inlineStr">
        <is>
          <t>Service (business)</t>
        </is>
      </c>
      <c r="C324" s="23" t="inlineStr">
        <is>
          <t>PayoutService</t>
        </is>
      </c>
      <c r="D324" s="23" t="inlineStr">
        <is>
          <t>create</t>
        </is>
      </c>
      <c r="E324" s="23" t="inlineStr">
        <is>
          <t>Mono&lt;PayoutResponse&gt; create(CreatePayoutRequest request)</t>
        </is>
      </c>
      <c r="F324" s="23" t="inlineStr">
        <is>
          <t>-</t>
        </is>
      </c>
    </row>
    <row r="325">
      <c r="A325" s="23" t="inlineStr">
        <is>
          <t>Financial Service</t>
        </is>
      </c>
      <c r="B325" s="23" t="inlineStr">
        <is>
          <t>Service (business)</t>
        </is>
      </c>
      <c r="C325" s="23" t="inlineStr">
        <is>
          <t>PayoutService</t>
        </is>
      </c>
      <c r="D325" s="23" t="inlineStr">
        <is>
          <t>findById</t>
        </is>
      </c>
      <c r="E325" s="23" t="inlineStr">
        <is>
          <t>Mono&lt;PayoutResponse&gt; findById(Long payoutId)</t>
        </is>
      </c>
      <c r="F325" s="23" t="inlineStr">
        <is>
          <t>-</t>
        </is>
      </c>
    </row>
    <row r="326">
      <c r="A326" s="23" t="inlineStr">
        <is>
          <t>Financial Service</t>
        </is>
      </c>
      <c r="B326" s="23" t="inlineStr">
        <is>
          <t>Service (business)</t>
        </is>
      </c>
      <c r="C326" s="23" t="inlineStr">
        <is>
          <t>PayoutService</t>
        </is>
      </c>
      <c r="D326" s="23" t="inlineStr">
        <is>
          <t>findMine</t>
        </is>
      </c>
      <c r="E326" s="23" t="inlineStr">
        <is>
          <t>Flux&lt;PayoutResponse&gt; findMine()</t>
        </is>
      </c>
      <c r="F326" s="23" t="inlineStr">
        <is>
          <t>-</t>
        </is>
      </c>
    </row>
    <row r="327">
      <c r="A327" s="23" t="inlineStr">
        <is>
          <t>Financial Service</t>
        </is>
      </c>
      <c r="B327" s="23" t="inlineStr">
        <is>
          <t>Service (business)</t>
        </is>
      </c>
      <c r="C327" s="23" t="inlineStr">
        <is>
          <t>PayoutService</t>
        </is>
      </c>
      <c r="D327" s="23" t="inlineStr">
        <is>
          <t>findAll</t>
        </is>
      </c>
      <c r="E327" s="23" t="inlineStr">
        <is>
          <t>Flux&lt;PayoutResponse&gt; findAll()</t>
        </is>
      </c>
      <c r="F327" s="23" t="inlineStr">
        <is>
          <t>-</t>
        </is>
      </c>
    </row>
    <row r="328">
      <c r="A328" s="23" t="inlineStr">
        <is>
          <t>Financial Service</t>
        </is>
      </c>
      <c r="B328" s="23" t="inlineStr">
        <is>
          <t>Service (business)</t>
        </is>
      </c>
      <c r="C328" s="23" t="inlineStr">
        <is>
          <t>PayoutService</t>
        </is>
      </c>
      <c r="D328" s="23" t="inlineStr">
        <is>
          <t>retry</t>
        </is>
      </c>
      <c r="E328" s="23" t="inlineStr">
        <is>
          <t>Mono&lt;PayoutResponse&gt; retry(Long payoutId, PayoutActionRequest request)</t>
        </is>
      </c>
      <c r="F328" s="23" t="inlineStr">
        <is>
          <t>-</t>
        </is>
      </c>
    </row>
    <row r="329">
      <c r="A329" s="23" t="inlineStr">
        <is>
          <t>Financial Service</t>
        </is>
      </c>
      <c r="B329" s="23" t="inlineStr">
        <is>
          <t>Service (business)</t>
        </is>
      </c>
      <c r="C329" s="23" t="inlineStr">
        <is>
          <t>PayoutService</t>
        </is>
      </c>
      <c r="D329" s="23" t="inlineStr">
        <is>
          <t>retryAutomatically</t>
        </is>
      </c>
      <c r="E329" s="23" t="inlineStr">
        <is>
          <t>Mono&lt;Payout&gt; retryAutomatically(Payout payout)</t>
        </is>
      </c>
      <c r="F329" s="23" t="inlineStr">
        <is>
          <t>-</t>
        </is>
      </c>
    </row>
    <row r="330">
      <c r="A330" s="23" t="inlineStr">
        <is>
          <t>Financial Service</t>
        </is>
      </c>
      <c r="B330" s="23" t="inlineStr">
        <is>
          <t>Service (business)</t>
        </is>
      </c>
      <c r="C330" s="23" t="inlineStr">
        <is>
          <t>PayoutService</t>
        </is>
      </c>
      <c r="D330" s="23" t="inlineStr">
        <is>
          <t>disburse</t>
        </is>
      </c>
      <c r="E330" s="23" t="inlineStr">
        <is>
          <t>Mono&lt;Payout&gt; disburse(Payout payout)</t>
        </is>
      </c>
      <c r="F330" s="23" t="inlineStr">
        <is>
          <t>-</t>
        </is>
      </c>
    </row>
    <row r="331">
      <c r="A331" s="23" t="inlineStr">
        <is>
          <t>Financial Service</t>
        </is>
      </c>
      <c r="B331" s="23" t="inlineStr">
        <is>
          <t>Service (business)</t>
        </is>
      </c>
      <c r="C331" s="23" t="inlineStr">
        <is>
          <t>PricingRuleService</t>
        </is>
      </c>
      <c r="D331" s="23" t="inlineStr">
        <is>
          <t>create</t>
        </is>
      </c>
      <c r="E331" s="23" t="inlineStr">
        <is>
          <t>Mono&lt;PricingRuleResponse&gt; create(PricingRuleRequest request)</t>
        </is>
      </c>
      <c r="F331" s="23" t="inlineStr">
        <is>
          <t>-</t>
        </is>
      </c>
    </row>
    <row r="332">
      <c r="A332" s="23" t="inlineStr">
        <is>
          <t>Financial Service</t>
        </is>
      </c>
      <c r="B332" s="23" t="inlineStr">
        <is>
          <t>Service (business)</t>
        </is>
      </c>
      <c r="C332" s="23" t="inlineStr">
        <is>
          <t>PricingRuleService</t>
        </is>
      </c>
      <c r="D332" s="23" t="inlineStr">
        <is>
          <t>findAll</t>
        </is>
      </c>
      <c r="E332" s="23" t="inlineStr">
        <is>
          <t>Flux&lt;PricingRuleResponse&gt; findAll()</t>
        </is>
      </c>
      <c r="F332" s="23" t="inlineStr">
        <is>
          <t>-</t>
        </is>
      </c>
    </row>
    <row r="333">
      <c r="A333" s="23" t="inlineStr">
        <is>
          <t>Financial Service</t>
        </is>
      </c>
      <c r="B333" s="23" t="inlineStr">
        <is>
          <t>Service (business)</t>
        </is>
      </c>
      <c r="C333" s="23" t="inlineStr">
        <is>
          <t>PricingRuleService</t>
        </is>
      </c>
      <c r="D333" s="23" t="inlineStr">
        <is>
          <t>findById</t>
        </is>
      </c>
      <c r="E333" s="23" t="inlineStr">
        <is>
          <t>Mono&lt;PricingRuleResponse&gt; findById(Long ruleId)</t>
        </is>
      </c>
      <c r="F333" s="23" t="inlineStr">
        <is>
          <t>-</t>
        </is>
      </c>
    </row>
    <row r="334">
      <c r="A334" s="23" t="inlineStr">
        <is>
          <t>Financial Service</t>
        </is>
      </c>
      <c r="B334" s="23" t="inlineStr">
        <is>
          <t>Service (business)</t>
        </is>
      </c>
      <c r="C334" s="23" t="inlineStr">
        <is>
          <t>PricingRuleService</t>
        </is>
      </c>
      <c r="D334" s="23" t="inlineStr">
        <is>
          <t>update</t>
        </is>
      </c>
      <c r="E334" s="23" t="inlineStr">
        <is>
          <t>Mono&lt;PricingRuleResponse&gt; update(Long ruleId, PricingRuleRequest request)</t>
        </is>
      </c>
      <c r="F334" s="23" t="inlineStr">
        <is>
          <t>-</t>
        </is>
      </c>
    </row>
    <row r="335">
      <c r="A335" s="23" t="inlineStr">
        <is>
          <t>Financial Service</t>
        </is>
      </c>
      <c r="B335" s="23" t="inlineStr">
        <is>
          <t>Service (business)</t>
        </is>
      </c>
      <c r="C335" s="23" t="inlineStr">
        <is>
          <t>PricingRuleService</t>
        </is>
      </c>
      <c r="D335" s="23" t="inlineStr">
        <is>
          <t>updateStatus</t>
        </is>
      </c>
      <c r="E335" s="23" t="inlineStr">
        <is>
          <t>Mono&lt;PricingRuleResponse&gt; updateStatus(Long ruleId, UpdatePricingRuleStatusRequest request)</t>
        </is>
      </c>
      <c r="F335" s="23" t="inlineStr">
        <is>
          <t>-</t>
        </is>
      </c>
    </row>
    <row r="336" ht="25" customHeight="1" s="20">
      <c r="A336" s="23" t="inlineStr">
        <is>
          <t>Financial Service</t>
        </is>
      </c>
      <c r="B336" s="23" t="inlineStr">
        <is>
          <t>Service (business)</t>
        </is>
      </c>
      <c r="C336" s="23" t="inlineStr">
        <is>
          <t>PricingRuleService</t>
        </is>
      </c>
      <c r="D336" s="23" t="inlineStr">
        <is>
          <t>archive</t>
        </is>
      </c>
      <c r="E336" s="23" t="inlineStr">
        <is>
          <t>Mono&lt;PricingRuleResponse&gt; archive(Long ruleId)</t>
        </is>
      </c>
      <c r="F336" s="23" t="inlineStr">
        <is>
          <t>-</t>
        </is>
      </c>
    </row>
    <row r="337">
      <c r="A337" s="23" t="inlineStr">
        <is>
          <t>Financial Service</t>
        </is>
      </c>
      <c r="B337" s="23" t="inlineStr">
        <is>
          <t>Service (business)</t>
        </is>
      </c>
      <c r="C337" s="23" t="inlineStr">
        <is>
          <t>QuoteService</t>
        </is>
      </c>
      <c r="D337" s="23" t="inlineStr">
        <is>
          <t>create</t>
        </is>
      </c>
      <c r="E337" s="23" t="inlineStr">
        <is>
          <t>Mono&lt;QuoteResponse&gt; create(CreateQuoteRequest request)</t>
        </is>
      </c>
      <c r="F337" s="23" t="inlineStr">
        <is>
          <t>-</t>
        </is>
      </c>
    </row>
    <row r="338">
      <c r="A338" s="23" t="inlineStr">
        <is>
          <t>Financial Service</t>
        </is>
      </c>
      <c r="B338" s="23" t="inlineStr">
        <is>
          <t>Service (business)</t>
        </is>
      </c>
      <c r="C338" s="23" t="inlineStr">
        <is>
          <t>QuoteService</t>
        </is>
      </c>
      <c r="D338" s="23" t="inlineStr">
        <is>
          <t>priceInternal</t>
        </is>
      </c>
      <c r="E338" s="23" t="inlineStr">
        <is>
          <t>Mono&lt;InternalPricingResponse&gt; priceInternal(InternalPricingRequest request)</t>
        </is>
      </c>
      <c r="F338" s="23" t="inlineStr">
        <is>
          <t>-</t>
        </is>
      </c>
    </row>
    <row r="339">
      <c r="A339" s="23" t="inlineStr">
        <is>
          <t>Financial Service</t>
        </is>
      </c>
      <c r="B339" s="23" t="inlineStr">
        <is>
          <t>Service (business)</t>
        </is>
      </c>
      <c r="C339" s="23" t="inlineStr">
        <is>
          <t>QuoteService</t>
        </is>
      </c>
      <c r="D339" s="23" t="inlineStr">
        <is>
          <t>findMine</t>
        </is>
      </c>
      <c r="E339" s="23" t="inlineStr">
        <is>
          <t>Mono&lt;QuoteResponse&gt; findMine(Long quoteId)</t>
        </is>
      </c>
      <c r="F339" s="23" t="inlineStr">
        <is>
          <t>-</t>
        </is>
      </c>
    </row>
    <row r="340">
      <c r="A340" s="23" t="inlineStr">
        <is>
          <t>Financial Service</t>
        </is>
      </c>
      <c r="B340" s="23" t="inlineStr">
        <is>
          <t>Service (business)</t>
        </is>
      </c>
      <c r="C340" s="23" t="inlineStr">
        <is>
          <t>QuoteService</t>
        </is>
      </c>
      <c r="D340" s="23" t="inlineStr">
        <is>
          <t>findMine</t>
        </is>
      </c>
      <c r="E340" s="23" t="inlineStr">
        <is>
          <t>Flux&lt;QuoteResponse&gt; findMine()</t>
        </is>
      </c>
      <c r="F340" s="23" t="inlineStr">
        <is>
          <t>-</t>
        </is>
      </c>
    </row>
    <row r="341">
      <c r="A341" s="23" t="inlineStr">
        <is>
          <t>Financial Service</t>
        </is>
      </c>
      <c r="B341" s="23" t="inlineStr">
        <is>
          <t>Service (business)</t>
        </is>
      </c>
      <c r="C341" s="23" t="inlineStr">
        <is>
          <t>QuoteService</t>
        </is>
      </c>
      <c r="D341" s="23" t="inlineStr">
        <is>
          <t>accept</t>
        </is>
      </c>
      <c r="E341" s="23" t="inlineStr">
        <is>
          <t>Mono&lt;QuoteResponse&gt; accept(Long quoteId)</t>
        </is>
      </c>
      <c r="F341" s="23" t="inlineStr">
        <is>
          <t>-</t>
        </is>
      </c>
    </row>
    <row r="342">
      <c r="A342" s="23" t="inlineStr">
        <is>
          <t>Financial Service</t>
        </is>
      </c>
      <c r="B342" s="23" t="inlineStr">
        <is>
          <t>Service (business)</t>
        </is>
      </c>
      <c r="C342" s="23" t="inlineStr">
        <is>
          <t>QuoteService</t>
        </is>
      </c>
      <c r="D342" s="23" t="inlineStr">
        <is>
          <t>cancel</t>
        </is>
      </c>
      <c r="E342" s="23" t="inlineStr">
        <is>
          <t>Mono&lt;QuoteResponse&gt; cancel(Long quoteId)</t>
        </is>
      </c>
      <c r="F342" s="23" t="inlineStr">
        <is>
          <t>-</t>
        </is>
      </c>
    </row>
    <row r="343">
      <c r="A343" s="23" t="inlineStr">
        <is>
          <t>Financial Service</t>
        </is>
      </c>
      <c r="B343" s="23" t="inlineStr">
        <is>
          <t>Service (business)</t>
        </is>
      </c>
      <c r="C343" s="23" t="inlineStr">
        <is>
          <t>QuoteService</t>
        </is>
      </c>
      <c r="D343" s="23" t="inlineStr">
        <is>
          <t>validateInternal</t>
        </is>
      </c>
      <c r="E343" s="23" t="inlineStr">
        <is>
          <t>Mono&lt;InternalQuoteResponse&gt; validateInternal(Long quoteId, InternalQuoteValidateRequest request)</t>
        </is>
      </c>
      <c r="F343" s="23" t="inlineStr">
        <is>
          <t>-</t>
        </is>
      </c>
    </row>
    <row r="344">
      <c r="A344" s="23" t="inlineStr">
        <is>
          <t>Financial Service</t>
        </is>
      </c>
      <c r="B344" s="23" t="inlineStr">
        <is>
          <t>Service (business)</t>
        </is>
      </c>
      <c r="C344" s="23" t="inlineStr">
        <is>
          <t>QuoteService</t>
        </is>
      </c>
      <c r="D344" s="23" t="inlineStr">
        <is>
          <t>consume</t>
        </is>
      </c>
      <c r="E344" s="23" t="inlineStr">
        <is>
          <t>Mono&lt;InternalQuoteResponse&gt; consume(Long quoteId, InternalQuoteConsumeRequest request)</t>
        </is>
      </c>
      <c r="F344" s="23" t="inlineStr">
        <is>
          <t>-</t>
        </is>
      </c>
    </row>
    <row r="345">
      <c r="A345" s="23" t="inlineStr">
        <is>
          <t>Financial Service</t>
        </is>
      </c>
      <c r="B345" s="23" t="inlineStr">
        <is>
          <t>Client (outbound REST)</t>
        </is>
      </c>
      <c r="C345" s="23" t="inlineStr">
        <is>
          <t>ClaimsServiceClient</t>
        </is>
      </c>
      <c r="D345" s="23" t="inlineStr">
        <is>
          <t>findClaim</t>
        </is>
      </c>
      <c r="E345" s="23" t="inlineStr">
        <is>
          <t>Mono&lt;InternalClaimResponse&gt; findClaim(Long claimId)</t>
        </is>
      </c>
      <c r="F345" s="23" t="inlineStr">
        <is>
          <t>-</t>
        </is>
      </c>
    </row>
    <row r="346">
      <c r="A346" s="23" t="inlineStr">
        <is>
          <t>Financial Service</t>
        </is>
      </c>
      <c r="B346" s="23" t="inlineStr">
        <is>
          <t>Client (outbound REST)</t>
        </is>
      </c>
      <c r="C346" s="23" t="inlineStr">
        <is>
          <t>ClaimsServiceClient</t>
        </is>
      </c>
      <c r="D346" s="23" t="inlineStr">
        <is>
          <t>settleClaim</t>
        </is>
      </c>
      <c r="E346" s="23" t="inlineStr">
        <is>
          <t>Mono&lt;Void&gt; settleClaim(Long claimId,String payoutReference)</t>
        </is>
      </c>
      <c r="F346" s="23" t="inlineStr">
        <is>
          <t>-</t>
        </is>
      </c>
    </row>
    <row r="347">
      <c r="A347" s="23" t="inlineStr">
        <is>
          <t>Financial Service</t>
        </is>
      </c>
      <c r="B347" s="23" t="inlineStr">
        <is>
          <t>Client (outbound REST)</t>
        </is>
      </c>
      <c r="C347" s="23" t="inlineStr">
        <is>
          <t>NotificationServiceClient</t>
        </is>
      </c>
      <c r="D347" s="23" t="inlineStr">
        <is>
          <t>sendNotification</t>
        </is>
      </c>
      <c r="E347" s="23" t="inlineStr">
        <is>
          <t>Mono&lt;Void&gt; sendNotification(NotificationRequest request)</t>
        </is>
      </c>
      <c r="F347" s="23" t="inlineStr">
        <is>
          <t>-</t>
        </is>
      </c>
    </row>
    <row r="348">
      <c r="A348" s="23" t="inlineStr">
        <is>
          <t>Financial Service</t>
        </is>
      </c>
      <c r="B348" s="23" t="inlineStr">
        <is>
          <t>Client (outbound REST)</t>
        </is>
      </c>
      <c r="C348" s="23" t="inlineStr">
        <is>
          <t>ProductServiceClient</t>
        </is>
      </c>
      <c r="D348" s="23" t="inlineStr">
        <is>
          <t>findProduct</t>
        </is>
      </c>
      <c r="E348" s="23" t="inlineStr">
        <is>
          <t>Mono&lt;InternalProductResponse&gt; findProduct(Long productId)</t>
        </is>
      </c>
      <c r="F348" s="23" t="inlineStr">
        <is>
          <t>-</t>
        </is>
      </c>
    </row>
    <row r="349">
      <c r="A349" s="23" t="inlineStr">
        <is>
          <t>Financial Service</t>
        </is>
      </c>
      <c r="B349" s="23" t="inlineStr">
        <is>
          <t>Client (outbound REST)</t>
        </is>
      </c>
      <c r="C349" s="23" t="inlineStr">
        <is>
          <t>ProductServiceClient</t>
        </is>
      </c>
      <c r="D349" s="23" t="inlineStr">
        <is>
          <t>findAllProducts</t>
        </is>
      </c>
      <c r="E349" s="23" t="inlineStr">
        <is>
          <t>Flux&lt;InternalProductResponse&gt; findAllProducts()</t>
        </is>
      </c>
      <c r="F349" s="23" t="inlineStr">
        <is>
          <t>-</t>
        </is>
      </c>
    </row>
    <row r="350">
      <c r="A350" s="23" t="inlineStr">
        <is>
          <t>Financial Service</t>
        </is>
      </c>
      <c r="B350" s="23" t="inlineStr">
        <is>
          <t>Client (outbound REST)</t>
        </is>
      </c>
      <c r="C350" s="23" t="inlineStr">
        <is>
          <t>ProductServiceClient</t>
        </is>
      </c>
      <c r="D350" s="23" t="inlineStr">
        <is>
          <t>requireActiveProduct</t>
        </is>
      </c>
      <c r="E350" s="23" t="inlineStr">
        <is>
          <t>Mono&lt;Void&gt; requireActiveProduct(Long productId)</t>
        </is>
      </c>
      <c r="F350" s="23" t="inlineStr">
        <is>
          <t>-</t>
        </is>
      </c>
    </row>
    <row r="351">
      <c r="A351" s="23" t="inlineStr">
        <is>
          <t>Financial Service</t>
        </is>
      </c>
      <c r="B351" s="23" t="inlineStr">
        <is>
          <t>Client (outbound REST)</t>
        </is>
      </c>
      <c r="C351" s="23" t="inlineStr">
        <is>
          <t>ProductServiceClient</t>
        </is>
      </c>
      <c r="D351" s="23" t="inlineStr">
        <is>
          <t>findPolicy</t>
        </is>
      </c>
      <c r="E351" s="23" t="inlineStr">
        <is>
          <t>Mono&lt;InternalPolicyResponse&gt; findPolicy(Long policyId)</t>
        </is>
      </c>
      <c r="F351" s="23" t="inlineStr">
        <is>
          <t>-</t>
        </is>
      </c>
    </row>
    <row r="352">
      <c r="A352" s="23" t="inlineStr">
        <is>
          <t>Financial Service</t>
        </is>
      </c>
      <c r="B352" s="23" t="inlineStr">
        <is>
          <t>Client (outbound REST)</t>
        </is>
      </c>
      <c r="C352" s="23" t="inlineStr">
        <is>
          <t>TriggerServiceClient</t>
        </is>
      </c>
      <c r="D352" s="23" t="inlineStr">
        <is>
          <t>findZone</t>
        </is>
      </c>
      <c r="E352" s="23" t="inlineStr">
        <is>
          <t>Mono&lt;ZoneDetail&gt; findZone(Long zoneId)</t>
        </is>
      </c>
      <c r="F352" s="23" t="inlineStr">
        <is>
          <t>-</t>
        </is>
      </c>
    </row>
    <row r="353" ht="25" customHeight="1" s="20">
      <c r="A353" s="23" t="inlineStr">
        <is>
          <t>Financial Service</t>
        </is>
      </c>
      <c r="B353" s="23" t="inlineStr">
        <is>
          <t>Client (outbound REST)</t>
        </is>
      </c>
      <c r="C353" s="23" t="inlineStr">
        <is>
          <t>TriggerServiceClient</t>
        </is>
      </c>
      <c r="D353" s="23" t="inlineStr">
        <is>
          <t>requireActiveZone</t>
        </is>
      </c>
      <c r="E353" s="23" t="inlineStr">
        <is>
          <t>Mono&lt;Void&gt; requireActiveZone(Long zoneId)</t>
        </is>
      </c>
      <c r="F353" s="23" t="inlineStr">
        <is>
          <t>-</t>
        </is>
      </c>
    </row>
    <row r="354">
      <c r="A354" s="23" t="inlineStr">
        <is>
          <t>Financial Service</t>
        </is>
      </c>
      <c r="B354" s="23" t="inlineStr">
        <is>
          <t>Client (outbound REST)</t>
        </is>
      </c>
      <c r="C354" s="23" t="inlineStr">
        <is>
          <t>TriggerServiceClient</t>
        </is>
      </c>
      <c r="D354" s="23" t="inlineStr">
        <is>
          <t>markEventProcessed</t>
        </is>
      </c>
      <c r="E354" s="23" t="inlineStr">
        <is>
          <t>Mono&lt;Void&gt; markEventProcessed(Long eventId)</t>
        </is>
      </c>
      <c r="F354" s="23" t="inlineStr">
        <is>
          <t>-</t>
        </is>
      </c>
    </row>
    <row r="355" ht="25" customHeight="1" s="20">
      <c r="A355" s="23" t="inlineStr">
        <is>
          <t>Financial Service</t>
        </is>
      </c>
      <c r="B355" s="23" t="inlineStr">
        <is>
          <t>Scheduler</t>
        </is>
      </c>
      <c r="C355" s="23" t="inlineStr">
        <is>
          <t>DefaultPricingRuleScheduler</t>
        </is>
      </c>
      <c r="D355" s="23" t="inlineStr">
        <is>
          <t>syncDefaultRules</t>
        </is>
      </c>
      <c r="E355" s="23" t="inlineStr">
        <is>
          <t>void syncDefaultRules()</t>
        </is>
      </c>
      <c r="F355" s="23" t="inlineStr">
        <is>
          <t>initialDelayString="${financial.pricing.default-rule-initial-delay-ms:20000}", fixedDelayString="${financial.pricing.default-rule-sync-ms:60000}"</t>
        </is>
      </c>
    </row>
    <row r="356" ht="25" customHeight="1" s="20">
      <c r="A356" s="23" t="inlineStr">
        <is>
          <t>Financial Service</t>
        </is>
      </c>
      <c r="B356" s="23" t="inlineStr">
        <is>
          <t>Scheduler</t>
        </is>
      </c>
      <c r="C356" s="23" t="inlineStr">
        <is>
          <t>PayoutRetryScheduler</t>
        </is>
      </c>
      <c r="D356" s="23" t="inlineStr">
        <is>
          <t>payOutstandingPayouts</t>
        </is>
      </c>
      <c r="E356" s="23" t="inlineStr">
        <is>
          <t>void payOutstandingPayouts()</t>
        </is>
      </c>
      <c r="F356" s="23" t="inlineStr">
        <is>
          <t>initialDelayString="${payout.sweep.initial-delay-ms:30000}", fixedDelayString="${payout.sweep.interval-ms:300000}"</t>
        </is>
      </c>
    </row>
    <row r="357" ht="25" customHeight="1" s="20">
      <c r="A357" s="23" t="inlineStr">
        <is>
          <t>Financial Service</t>
        </is>
      </c>
      <c r="B357" s="23" t="inlineStr">
        <is>
          <t>Scheduler</t>
        </is>
      </c>
      <c r="C357" s="23" t="inlineStr">
        <is>
          <t>PremiumReminderScheduler</t>
        </is>
      </c>
      <c r="D357" s="23" t="inlineStr">
        <is>
          <t>sendPremiumReminders</t>
        </is>
      </c>
      <c r="E357" s="23" t="inlineStr">
        <is>
          <t>void sendPremiumReminders()</t>
        </is>
      </c>
      <c r="F357" s="23" t="inlineStr">
        <is>
          <t>cron="0 0 9 * * *"</t>
        </is>
      </c>
    </row>
    <row r="358" ht="25" customHeight="1" s="20">
      <c r="A358" s="23" t="inlineStr">
        <is>
          <t>Financial Service</t>
        </is>
      </c>
      <c r="B358" s="23" t="inlineStr">
        <is>
          <t>Scheduler</t>
        </is>
      </c>
      <c r="C358" s="23" t="inlineStr">
        <is>
          <t>ReconciliationScheduler</t>
        </is>
      </c>
      <c r="D358" s="23" t="inlineStr">
        <is>
          <t>runReconciliation</t>
        </is>
      </c>
      <c r="E358" s="23" t="inlineStr">
        <is>
          <t>void runReconciliation()</t>
        </is>
      </c>
      <c r="F358" s="23" t="inlineStr">
        <is>
          <t>cron="0 30 3 * * *"</t>
        </is>
      </c>
    </row>
    <row r="359">
      <c r="A359" s="23" t="inlineStr">
        <is>
          <t>Notification Service</t>
        </is>
      </c>
      <c r="B359" s="23" t="inlineStr">
        <is>
          <t>Handler (HTTP)</t>
        </is>
      </c>
      <c r="C359" s="23" t="inlineStr">
        <is>
          <t>NotificationHandler</t>
        </is>
      </c>
      <c r="D359" s="23" t="inlineStr">
        <is>
          <t>create</t>
        </is>
      </c>
      <c r="E359" s="23" t="inlineStr">
        <is>
          <t>Mono&lt;ServerResponse&gt; create(ServerRequest r)</t>
        </is>
      </c>
      <c r="F359" s="23" t="inlineStr">
        <is>
          <t>-</t>
        </is>
      </c>
    </row>
    <row r="360">
      <c r="A360" s="23" t="inlineStr">
        <is>
          <t>Notification Service</t>
        </is>
      </c>
      <c r="B360" s="23" t="inlineStr">
        <is>
          <t>Handler (HTTP)</t>
        </is>
      </c>
      <c r="C360" s="23" t="inlineStr">
        <is>
          <t>NotificationHandler</t>
        </is>
      </c>
      <c r="D360" s="23" t="inlineStr">
        <is>
          <t>mine</t>
        </is>
      </c>
      <c r="E360" s="23" t="inlineStr">
        <is>
          <t>Mono&lt;ServerResponse&gt; mine(ServerRequest r)</t>
        </is>
      </c>
      <c r="F360" s="23" t="inlineStr">
        <is>
          <t>-</t>
        </is>
      </c>
    </row>
    <row r="361">
      <c r="A361" s="23" t="inlineStr">
        <is>
          <t>Notification Service</t>
        </is>
      </c>
      <c r="B361" s="23" t="inlineStr">
        <is>
          <t>Handler (HTTP)</t>
        </is>
      </c>
      <c r="C361" s="23" t="inlineStr">
        <is>
          <t>NotificationHandler</t>
        </is>
      </c>
      <c r="D361" s="23" t="inlineStr">
        <is>
          <t>unread</t>
        </is>
      </c>
      <c r="E361" s="23" t="inlineStr">
        <is>
          <t>Mono&lt;ServerResponse&gt; unread(ServerRequest r)</t>
        </is>
      </c>
      <c r="F361" s="23" t="inlineStr">
        <is>
          <t>-</t>
        </is>
      </c>
    </row>
    <row r="362">
      <c r="A362" s="23" t="inlineStr">
        <is>
          <t>Notification Service</t>
        </is>
      </c>
      <c r="B362" s="23" t="inlineStr">
        <is>
          <t>Handler (HTTP)</t>
        </is>
      </c>
      <c r="C362" s="23" t="inlineStr">
        <is>
          <t>NotificationHandler</t>
        </is>
      </c>
      <c r="D362" s="23" t="inlineStr">
        <is>
          <t>count</t>
        </is>
      </c>
      <c r="E362" s="23" t="inlineStr">
        <is>
          <t>Mono&lt;ServerResponse&gt; count(ServerRequest r)</t>
        </is>
      </c>
      <c r="F362" s="23" t="inlineStr">
        <is>
          <t>-</t>
        </is>
      </c>
    </row>
    <row r="363">
      <c r="A363" s="23" t="inlineStr">
        <is>
          <t>Notification Service</t>
        </is>
      </c>
      <c r="B363" s="23" t="inlineStr">
        <is>
          <t>Handler (HTTP)</t>
        </is>
      </c>
      <c r="C363" s="23" t="inlineStr">
        <is>
          <t>NotificationHandler</t>
        </is>
      </c>
      <c r="D363" s="23" t="inlineStr">
        <is>
          <t>stream</t>
        </is>
      </c>
      <c r="E363" s="23" t="inlineStr">
        <is>
          <t>Mono&lt;ServerResponse&gt; stream(ServerRequest r)</t>
        </is>
      </c>
      <c r="F363" s="23" t="inlineStr">
        <is>
          <t>-</t>
        </is>
      </c>
    </row>
    <row r="364">
      <c r="A364" s="23" t="inlineStr">
        <is>
          <t>Notification Service</t>
        </is>
      </c>
      <c r="B364" s="23" t="inlineStr">
        <is>
          <t>Handler (HTTP)</t>
        </is>
      </c>
      <c r="C364" s="23" t="inlineStr">
        <is>
          <t>NotificationHandler</t>
        </is>
      </c>
      <c r="D364" s="23" t="inlineStr">
        <is>
          <t>read</t>
        </is>
      </c>
      <c r="E364" s="23" t="inlineStr">
        <is>
          <t>Mono&lt;ServerResponse&gt; read(ServerRequest r)</t>
        </is>
      </c>
      <c r="F364" s="23" t="inlineStr">
        <is>
          <t>-</t>
        </is>
      </c>
    </row>
    <row r="365">
      <c r="A365" s="23" t="inlineStr">
        <is>
          <t>Notification Service</t>
        </is>
      </c>
      <c r="B365" s="23" t="inlineStr">
        <is>
          <t>Handler (HTTP)</t>
        </is>
      </c>
      <c r="C365" s="23" t="inlineStr">
        <is>
          <t>NotificationHandler</t>
        </is>
      </c>
      <c r="D365" s="23" t="inlineStr">
        <is>
          <t>adminRead</t>
        </is>
      </c>
      <c r="E365" s="23" t="inlineStr">
        <is>
          <t>Mono&lt;ServerResponse&gt; adminRead(ServerRequest r)</t>
        </is>
      </c>
      <c r="F365" s="23" t="inlineStr">
        <is>
          <t>-</t>
        </is>
      </c>
    </row>
    <row r="366">
      <c r="A366" s="23" t="inlineStr">
        <is>
          <t>Notification Service</t>
        </is>
      </c>
      <c r="B366" s="23" t="inlineStr">
        <is>
          <t>Handler (HTTP)</t>
        </is>
      </c>
      <c r="C366" s="23" t="inlineStr">
        <is>
          <t>NotificationHandler</t>
        </is>
      </c>
      <c r="D366" s="23" t="inlineStr">
        <is>
          <t>adminDelete</t>
        </is>
      </c>
      <c r="E366" s="23" t="inlineStr">
        <is>
          <t>Mono&lt;ServerResponse&gt; adminDelete(ServerRequest r)</t>
        </is>
      </c>
      <c r="F366" s="23" t="inlineStr">
        <is>
          <t>-</t>
        </is>
      </c>
    </row>
    <row r="367">
      <c r="A367" s="23" t="inlineStr">
        <is>
          <t>Notification Service</t>
        </is>
      </c>
      <c r="B367" s="23" t="inlineStr">
        <is>
          <t>Handler (HTTP)</t>
        </is>
      </c>
      <c r="C367" s="23" t="inlineStr">
        <is>
          <t>NotificationHandler</t>
        </is>
      </c>
      <c r="D367" s="23" t="inlineStr">
        <is>
          <t>readAll</t>
        </is>
      </c>
      <c r="E367" s="23" t="inlineStr">
        <is>
          <t>Mono&lt;ServerResponse&gt; readAll(ServerRequest r)</t>
        </is>
      </c>
      <c r="F367" s="23" t="inlineStr">
        <is>
          <t>-</t>
        </is>
      </c>
    </row>
    <row r="368">
      <c r="A368" s="23" t="inlineStr">
        <is>
          <t>Notification Service</t>
        </is>
      </c>
      <c r="B368" s="23" t="inlineStr">
        <is>
          <t>Handler (HTTP)</t>
        </is>
      </c>
      <c r="C368" s="23" t="inlineStr">
        <is>
          <t>NotificationHandler</t>
        </is>
      </c>
      <c r="D368" s="23" t="inlineStr">
        <is>
          <t>delete</t>
        </is>
      </c>
      <c r="E368" s="23" t="inlineStr">
        <is>
          <t>Mono&lt;ServerResponse&gt; delete(ServerRequest r)</t>
        </is>
      </c>
      <c r="F368" s="23" t="inlineStr">
        <is>
          <t>-</t>
        </is>
      </c>
    </row>
    <row r="369">
      <c r="A369" s="23" t="inlineStr">
        <is>
          <t>Notification Service</t>
        </is>
      </c>
      <c r="B369" s="23" t="inlineStr">
        <is>
          <t>Handler (HTTP)</t>
        </is>
      </c>
      <c r="C369" s="23" t="inlineStr">
        <is>
          <t>NotificationHandler</t>
        </is>
      </c>
      <c r="D369" s="23" t="inlineStr">
        <is>
          <t>all</t>
        </is>
      </c>
      <c r="E369" s="23" t="inlineStr">
        <is>
          <t>Mono&lt;ServerResponse&gt; all(ServerRequest r)</t>
        </is>
      </c>
      <c r="F369" s="23" t="inlineStr">
        <is>
          <t>-</t>
        </is>
      </c>
    </row>
    <row r="370">
      <c r="A370" s="23" t="inlineStr">
        <is>
          <t>Notification Service</t>
        </is>
      </c>
      <c r="B370" s="23" t="inlineStr">
        <is>
          <t>Service (business)</t>
        </is>
      </c>
      <c r="C370" s="23" t="inlineStr">
        <is>
          <t>NotificationService</t>
        </is>
      </c>
      <c r="D370" s="23" t="inlineStr">
        <is>
          <t>create</t>
        </is>
      </c>
      <c r="E370" s="23" t="inlineStr">
        <is>
          <t>Mono&lt;NotificationResponse&gt; create(InternalNotificationRequest r)</t>
        </is>
      </c>
      <c r="F370" s="23" t="inlineStr">
        <is>
          <t>-</t>
        </is>
      </c>
    </row>
    <row r="371">
      <c r="A371" s="23" t="inlineStr">
        <is>
          <t>Notification Service</t>
        </is>
      </c>
      <c r="B371" s="23" t="inlineStr">
        <is>
          <t>Service (business)</t>
        </is>
      </c>
      <c r="C371" s="23" t="inlineStr">
        <is>
          <t>NotificationService</t>
        </is>
      </c>
      <c r="D371" s="23" t="inlineStr">
        <is>
          <t>mine</t>
        </is>
      </c>
      <c r="E371" s="23" t="inlineStr">
        <is>
          <t>Flux&lt;NotificationResponse&gt; mine(boolean unreadOnly)</t>
        </is>
      </c>
      <c r="F371" s="23" t="inlineStr">
        <is>
          <t>-</t>
        </is>
      </c>
    </row>
    <row r="372">
      <c r="A372" s="23" t="inlineStr">
        <is>
          <t>Notification Service</t>
        </is>
      </c>
      <c r="B372" s="23" t="inlineStr">
        <is>
          <t>Service (business)</t>
        </is>
      </c>
      <c r="C372" s="23" t="inlineStr">
        <is>
          <t>NotificationService</t>
        </is>
      </c>
      <c r="D372" s="23" t="inlineStr">
        <is>
          <t>stream</t>
        </is>
      </c>
      <c r="E372" s="23" t="inlineStr">
        <is>
          <t>Flux&lt;NotificationResponse&gt; stream()</t>
        </is>
      </c>
      <c r="F372" s="23" t="inlineStr">
        <is>
          <t>-</t>
        </is>
      </c>
    </row>
    <row r="373">
      <c r="A373" s="23" t="inlineStr">
        <is>
          <t>Notification Service</t>
        </is>
      </c>
      <c r="B373" s="23" t="inlineStr">
        <is>
          <t>Service (business)</t>
        </is>
      </c>
      <c r="C373" s="23" t="inlineStr">
        <is>
          <t>NotificationService</t>
        </is>
      </c>
      <c r="D373" s="23" t="inlineStr">
        <is>
          <t>unreadCount</t>
        </is>
      </c>
      <c r="E373" s="23" t="inlineStr">
        <is>
          <t>Mono&lt;UnreadCountResponse&gt; unreadCount()</t>
        </is>
      </c>
      <c r="F373" s="23" t="inlineStr">
        <is>
          <t>-</t>
        </is>
      </c>
    </row>
    <row r="374">
      <c r="A374" s="23" t="inlineStr">
        <is>
          <t>Notification Service</t>
        </is>
      </c>
      <c r="B374" s="23" t="inlineStr">
        <is>
          <t>Service (business)</t>
        </is>
      </c>
      <c r="C374" s="23" t="inlineStr">
        <is>
          <t>NotificationService</t>
        </is>
      </c>
      <c r="D374" s="23" t="inlineStr">
        <is>
          <t>markRead</t>
        </is>
      </c>
      <c r="E374" s="23" t="inlineStr">
        <is>
          <t>Mono&lt;NotificationResponse&gt; markRead(Long id)</t>
        </is>
      </c>
      <c r="F374" s="23" t="inlineStr">
        <is>
          <t>-</t>
        </is>
      </c>
    </row>
    <row r="375">
      <c r="A375" s="23" t="inlineStr">
        <is>
          <t>Notification Service</t>
        </is>
      </c>
      <c r="B375" s="23" t="inlineStr">
        <is>
          <t>Service (business)</t>
        </is>
      </c>
      <c r="C375" s="23" t="inlineStr">
        <is>
          <t>NotificationService</t>
        </is>
      </c>
      <c r="D375" s="23" t="inlineStr">
        <is>
          <t>markAllRead</t>
        </is>
      </c>
      <c r="E375" s="23" t="inlineStr">
        <is>
          <t>Mono&lt;MessageResponse&gt; markAllRead()</t>
        </is>
      </c>
      <c r="F375" s="23" t="inlineStr">
        <is>
          <t>-</t>
        </is>
      </c>
    </row>
    <row r="376">
      <c r="A376" s="23" t="inlineStr">
        <is>
          <t>Notification Service</t>
        </is>
      </c>
      <c r="B376" s="23" t="inlineStr">
        <is>
          <t>Service (business)</t>
        </is>
      </c>
      <c r="C376" s="23" t="inlineStr">
        <is>
          <t>NotificationService</t>
        </is>
      </c>
      <c r="D376" s="23" t="inlineStr">
        <is>
          <t>delete</t>
        </is>
      </c>
      <c r="E376" s="23" t="inlineStr">
        <is>
          <t>Mono&lt;MessageResponse&gt; delete(Long id)</t>
        </is>
      </c>
      <c r="F376" s="23" t="inlineStr">
        <is>
          <t>-</t>
        </is>
      </c>
    </row>
    <row r="377">
      <c r="A377" s="23" t="inlineStr">
        <is>
          <t>Notification Service</t>
        </is>
      </c>
      <c r="B377" s="23" t="inlineStr">
        <is>
          <t>Service (business)</t>
        </is>
      </c>
      <c r="C377" s="23" t="inlineStr">
        <is>
          <t>NotificationService</t>
        </is>
      </c>
      <c r="D377" s="23" t="inlineStr">
        <is>
          <t>all</t>
        </is>
      </c>
      <c r="E377" s="23" t="inlineStr">
        <is>
          <t>Flux&lt;NotificationResponse&gt; all()</t>
        </is>
      </c>
      <c r="F377" s="23" t="inlineStr">
        <is>
          <t>-</t>
        </is>
      </c>
    </row>
    <row r="378">
      <c r="A378" s="23" t="inlineStr">
        <is>
          <t>Notification Service</t>
        </is>
      </c>
      <c r="B378" s="23" t="inlineStr">
        <is>
          <t>Service (business)</t>
        </is>
      </c>
      <c r="C378" s="23" t="inlineStr">
        <is>
          <t>NotificationService</t>
        </is>
      </c>
      <c r="D378" s="23" t="inlineStr">
        <is>
          <t>adminMarkRead</t>
        </is>
      </c>
      <c r="E378" s="23" t="inlineStr">
        <is>
          <t>Mono&lt;NotificationResponse&gt; adminMarkRead(Long id)</t>
        </is>
      </c>
      <c r="F378" s="23" t="inlineStr">
        <is>
          <t>-</t>
        </is>
      </c>
    </row>
    <row r="379">
      <c r="A379" s="23" t="inlineStr">
        <is>
          <t>Notification Service</t>
        </is>
      </c>
      <c r="B379" s="23" t="inlineStr">
        <is>
          <t>Service (business)</t>
        </is>
      </c>
      <c r="C379" s="23" t="inlineStr">
        <is>
          <t>NotificationService</t>
        </is>
      </c>
      <c r="D379" s="23" t="inlineStr">
        <is>
          <t>adminDelete</t>
        </is>
      </c>
      <c r="E379" s="23" t="inlineStr">
        <is>
          <t>Mono&lt;MessageResponse&gt; adminDelete(Long id)</t>
        </is>
      </c>
      <c r="F379" s="23" t="inlineStr">
        <is>
          <t>-</t>
        </is>
      </c>
    </row>
    <row r="380">
      <c r="A380" s="23" t="inlineStr">
        <is>
          <t>Notification Service</t>
        </is>
      </c>
      <c r="B380" s="23" t="inlineStr">
        <is>
          <t>Service (business)</t>
        </is>
      </c>
      <c r="C380" s="23" t="inlineStr">
        <is>
          <t>NotificationStream</t>
        </is>
      </c>
      <c r="D380" s="23" t="inlineStr">
        <is>
          <t>publish</t>
        </is>
      </c>
      <c r="E380" s="23" t="inlineStr">
        <is>
          <t>synchronized void publish(NotificationResponse n)</t>
        </is>
      </c>
      <c r="F380" s="23" t="inlineStr">
        <is>
          <t>-</t>
        </is>
      </c>
    </row>
    <row r="381">
      <c r="A381" s="23" t="inlineStr">
        <is>
          <t>Notification Service</t>
        </is>
      </c>
      <c r="B381" s="23" t="inlineStr">
        <is>
          <t>Service (business)</t>
        </is>
      </c>
      <c r="C381" s="23" t="inlineStr">
        <is>
          <t>NotificationStream</t>
        </is>
      </c>
      <c r="D381" s="23" t="inlineStr">
        <is>
          <t>asFlux</t>
        </is>
      </c>
      <c r="E381" s="23" t="inlineStr">
        <is>
          <t>Flux&lt;NotificationResponse&gt; asFlux()</t>
        </is>
      </c>
      <c r="F381" s="23" t="inlineStr">
        <is>
          <t>-</t>
        </is>
      </c>
    </row>
    <row r="382">
      <c r="A382" s="23" t="inlineStr">
        <is>
          <t>Notification Service</t>
        </is>
      </c>
      <c r="B382" s="23" t="inlineStr">
        <is>
          <t>Scheduler</t>
        </is>
      </c>
      <c r="C382" s="23" t="inlineStr">
        <is>
          <t>NotificationScheduler</t>
        </is>
      </c>
      <c r="D382" s="23" t="inlineStr">
        <is>
          <t>cleanupOldNotifications</t>
        </is>
      </c>
      <c r="E382" s="23" t="inlineStr">
        <is>
          <t>void cleanupOldNotifications()</t>
        </is>
      </c>
      <c r="F382" s="23" t="inlineStr">
        <is>
          <t>cron = "0 0 3 * * *"</t>
        </is>
      </c>
    </row>
    <row r="383">
      <c r="A383" s="33" t="n"/>
      <c r="B383" s="33" t="n"/>
      <c r="C383" s="33" t="n"/>
      <c r="D383" s="33" t="n"/>
      <c r="E383" s="33" t="n"/>
      <c r="F383" s="33" t="n"/>
    </row>
    <row r="384">
      <c r="A384" s="33" t="n"/>
      <c r="B384" s="33" t="n"/>
      <c r="C384" s="33" t="n"/>
      <c r="D384" s="33" t="n"/>
      <c r="E384" s="33" t="n"/>
      <c r="F384" s="33" t="n"/>
    </row>
    <row r="385">
      <c r="A385" s="33" t="n"/>
      <c r="B385" s="33" t="n"/>
      <c r="C385" s="33" t="n"/>
      <c r="D385" s="33" t="n"/>
      <c r="E385" s="33" t="n"/>
      <c r="F385" s="33" t="n"/>
    </row>
    <row r="386">
      <c r="A386" s="33" t="n"/>
      <c r="B386" s="33" t="n"/>
      <c r="C386" s="33" t="n"/>
      <c r="D386" s="33" t="n"/>
      <c r="E386" s="33" t="n"/>
      <c r="F386" s="33" t="n"/>
    </row>
    <row r="387">
      <c r="A387" s="33" t="n"/>
      <c r="B387" s="33" t="n"/>
      <c r="C387" s="33" t="n"/>
      <c r="D387" s="33" t="n"/>
      <c r="E387" s="33" t="n"/>
      <c r="F387" s="33" t="n"/>
    </row>
    <row r="388">
      <c r="A388" s="33" t="n"/>
      <c r="B388" s="33" t="n"/>
      <c r="C388" s="33" t="n"/>
      <c r="D388" s="33" t="n"/>
      <c r="E388" s="33" t="n"/>
      <c r="F388" s="33" t="n"/>
    </row>
    <row r="389">
      <c r="A389" s="33" t="n"/>
      <c r="B389" s="33" t="n"/>
      <c r="C389" s="33" t="n"/>
      <c r="D389" s="33" t="n"/>
      <c r="E389" s="33" t="n"/>
      <c r="F389" s="33" t="n"/>
    </row>
    <row r="390">
      <c r="A390" s="33" t="n"/>
      <c r="B390" s="33" t="n"/>
      <c r="C390" s="33" t="n"/>
      <c r="D390" s="33" t="n"/>
      <c r="E390" s="33" t="n"/>
      <c r="F390" s="33" t="n"/>
    </row>
    <row r="391">
      <c r="A391" s="33" t="n"/>
      <c r="B391" s="33" t="n"/>
      <c r="C391" s="33" t="n"/>
      <c r="D391" s="33" t="n"/>
      <c r="E391" s="33" t="n"/>
      <c r="F391" s="33" t="n"/>
    </row>
    <row r="392">
      <c r="A392" s="33" t="n"/>
      <c r="B392" s="33" t="n"/>
      <c r="C392" s="33" t="n"/>
      <c r="D392" s="33" t="n"/>
      <c r="E392" s="33" t="n"/>
      <c r="F392" s="33" t="n"/>
    </row>
    <row r="393">
      <c r="A393" s="33" t="n"/>
      <c r="B393" s="33" t="n"/>
      <c r="C393" s="33" t="n"/>
      <c r="D393" s="33" t="n"/>
      <c r="E393" s="33" t="n"/>
      <c r="F393" s="33" t="n"/>
    </row>
    <row r="394">
      <c r="A394" s="33" t="n"/>
      <c r="B394" s="33" t="n"/>
      <c r="C394" s="33" t="n"/>
      <c r="D394" s="33" t="n"/>
      <c r="E394" s="33" t="n"/>
      <c r="F394" s="33" t="n"/>
    </row>
    <row r="395">
      <c r="A395" s="33" t="n"/>
      <c r="B395" s="33" t="n"/>
      <c r="C395" s="33" t="n"/>
      <c r="D395" s="33" t="n"/>
      <c r="E395" s="33" t="n"/>
      <c r="F395" s="33" t="n"/>
    </row>
    <row r="396">
      <c r="A396" s="33" t="n"/>
      <c r="B396" s="33" t="n"/>
      <c r="C396" s="33" t="n"/>
      <c r="D396" s="33" t="n"/>
      <c r="E396" s="33" t="n"/>
      <c r="F396" s="33" t="n"/>
    </row>
    <row r="397" ht="25" customHeight="1" s="20">
      <c r="A397" s="33" t="n"/>
      <c r="B397" s="33" t="n"/>
      <c r="C397" s="33" t="n"/>
      <c r="D397" s="33" t="n"/>
      <c r="E397" s="33" t="n"/>
      <c r="F397" s="33" t="n"/>
    </row>
    <row r="398">
      <c r="A398" s="33" t="n"/>
      <c r="B398" s="33" t="n"/>
      <c r="C398" s="33" t="n"/>
      <c r="D398" s="33" t="n"/>
      <c r="E398" s="33" t="n"/>
      <c r="F398" s="33" t="n"/>
    </row>
    <row r="399" ht="25" customHeight="1" s="20">
      <c r="A399" s="33" t="n"/>
      <c r="B399" s="33" t="n"/>
      <c r="C399" s="33" t="n"/>
      <c r="D399" s="33" t="n"/>
      <c r="E399" s="33" t="n"/>
      <c r="F399" s="33" t="n"/>
    </row>
    <row r="400">
      <c r="A400" s="33" t="n"/>
      <c r="B400" s="33" t="n"/>
      <c r="C400" s="33" t="n"/>
      <c r="D400" s="33" t="n"/>
      <c r="E400" s="33" t="n"/>
      <c r="F400" s="33" t="n"/>
    </row>
    <row r="401">
      <c r="A401" s="33" t="n"/>
      <c r="B401" s="33" t="n"/>
      <c r="C401" s="33" t="n"/>
      <c r="D401" s="33" t="n"/>
      <c r="E401" s="33" t="n"/>
      <c r="F401" s="33" t="n"/>
    </row>
    <row r="402">
      <c r="A402" s="33" t="n"/>
      <c r="B402" s="33" t="n"/>
      <c r="C402" s="33" t="n"/>
      <c r="D402" s="33" t="n"/>
      <c r="E402" s="33" t="n"/>
      <c r="F402" s="33" t="n"/>
    </row>
    <row r="403">
      <c r="A403" s="33" t="n"/>
      <c r="B403" s="33" t="n"/>
      <c r="C403" s="33" t="n"/>
      <c r="D403" s="33" t="n"/>
      <c r="E403" s="33" t="n"/>
      <c r="F403" s="33" t="n"/>
    </row>
    <row r="404">
      <c r="A404" s="33" t="n"/>
      <c r="B404" s="33" t="n"/>
      <c r="C404" s="33" t="n"/>
      <c r="D404" s="33" t="n"/>
      <c r="E404" s="33" t="n"/>
      <c r="F404" s="33" t="n"/>
    </row>
    <row r="405">
      <c r="A405" s="33" t="n"/>
      <c r="B405" s="33" t="n"/>
      <c r="C405" s="33" t="n"/>
      <c r="D405" s="33" t="n"/>
      <c r="E405" s="33" t="n"/>
      <c r="F405" s="33" t="n"/>
    </row>
    <row r="406">
      <c r="A406" s="33" t="n"/>
      <c r="B406" s="33" t="n"/>
      <c r="C406" s="33" t="n"/>
      <c r="D406" s="33" t="n"/>
      <c r="E406" s="33" t="n"/>
      <c r="F406" s="33" t="n"/>
    </row>
    <row r="407">
      <c r="A407" s="33" t="n"/>
      <c r="B407" s="33" t="n"/>
      <c r="C407" s="33" t="n"/>
      <c r="D407" s="33" t="n"/>
      <c r="E407" s="33" t="n"/>
      <c r="F407" s="33" t="n"/>
    </row>
    <row r="408">
      <c r="A408" s="33" t="n"/>
      <c r="B408" s="33" t="n"/>
      <c r="C408" s="33" t="n"/>
      <c r="D408" s="33" t="n"/>
      <c r="E408" s="33" t="n"/>
      <c r="F408" s="33" t="n"/>
    </row>
    <row r="409">
      <c r="A409" s="33" t="n"/>
      <c r="B409" s="33" t="n"/>
      <c r="C409" s="33" t="n"/>
      <c r="D409" s="33" t="n"/>
      <c r="E409" s="33" t="n"/>
      <c r="F409" s="33" t="n"/>
    </row>
    <row r="410">
      <c r="A410" s="33" t="n"/>
      <c r="B410" s="33" t="n"/>
      <c r="C410" s="33" t="n"/>
      <c r="D410" s="33" t="n"/>
      <c r="E410" s="33" t="n"/>
      <c r="F410" s="33" t="n"/>
    </row>
    <row r="411">
      <c r="A411" s="33" t="n"/>
      <c r="B411" s="33" t="n"/>
      <c r="C411" s="33" t="n"/>
      <c r="D411" s="33" t="n"/>
      <c r="E411" s="33" t="n"/>
      <c r="F411" s="33" t="n"/>
    </row>
    <row r="412">
      <c r="A412" s="33" t="n"/>
      <c r="B412" s="33" t="n"/>
      <c r="C412" s="33" t="n"/>
      <c r="D412" s="33" t="n"/>
      <c r="E412" s="33" t="n"/>
      <c r="F412" s="33" t="n"/>
    </row>
    <row r="413">
      <c r="A413" s="33" t="n"/>
      <c r="B413" s="33" t="n"/>
      <c r="C413" s="33" t="n"/>
      <c r="D413" s="33" t="n"/>
      <c r="E413" s="33" t="n"/>
      <c r="F413" s="33" t="n"/>
    </row>
    <row r="414">
      <c r="A414" s="33" t="n"/>
      <c r="B414" s="33" t="n"/>
      <c r="C414" s="33" t="n"/>
      <c r="D414" s="33" t="n"/>
      <c r="E414" s="33" t="n"/>
      <c r="F414" s="33" t="n"/>
    </row>
    <row r="415">
      <c r="A415" s="33" t="n"/>
      <c r="B415" s="33" t="n"/>
      <c r="C415" s="33" t="n"/>
      <c r="D415" s="33" t="n"/>
      <c r="E415" s="33" t="n"/>
      <c r="F415" s="33" t="n"/>
    </row>
    <row r="416">
      <c r="A416" s="33" t="n"/>
      <c r="B416" s="33" t="n"/>
      <c r="C416" s="33" t="n"/>
      <c r="D416" s="33" t="n"/>
      <c r="E416" s="33" t="n"/>
      <c r="F416" s="33" t="n"/>
    </row>
    <row r="417">
      <c r="A417" s="33" t="n"/>
      <c r="B417" s="33" t="n"/>
      <c r="C417" s="33" t="n"/>
      <c r="D417" s="33" t="n"/>
      <c r="E417" s="33" t="n"/>
      <c r="F417" s="33" t="n"/>
    </row>
    <row r="418">
      <c r="A418" s="33" t="n"/>
      <c r="B418" s="33" t="n"/>
      <c r="C418" s="33" t="n"/>
      <c r="D418" s="33" t="n"/>
      <c r="E418" s="33" t="n"/>
      <c r="F418" s="33" t="n"/>
    </row>
    <row r="419">
      <c r="A419" s="33" t="n"/>
      <c r="B419" s="33" t="n"/>
      <c r="C419" s="33" t="n"/>
      <c r="D419" s="33" t="n"/>
      <c r="E419" s="33" t="n"/>
      <c r="F419" s="33" t="n"/>
    </row>
    <row r="420">
      <c r="A420" s="33" t="n"/>
      <c r="B420" s="33" t="n"/>
      <c r="C420" s="33" t="n"/>
      <c r="D420" s="33" t="n"/>
      <c r="E420" s="33" t="n"/>
      <c r="F420" s="33" t="n"/>
    </row>
    <row r="421">
      <c r="A421" s="33" t="n"/>
      <c r="B421" s="33" t="n"/>
      <c r="C421" s="33" t="n"/>
      <c r="D421" s="33" t="n"/>
      <c r="E421" s="33" t="n"/>
      <c r="F421" s="33" t="n"/>
    </row>
    <row r="422">
      <c r="A422" s="33" t="n"/>
      <c r="B422" s="33" t="n"/>
      <c r="C422" s="33" t="n"/>
      <c r="D422" s="33" t="n"/>
      <c r="E422" s="33" t="n"/>
      <c r="F422" s="33" t="n"/>
    </row>
    <row r="423">
      <c r="A423" s="33" t="n"/>
      <c r="B423" s="33" t="n"/>
      <c r="C423" s="33" t="n"/>
      <c r="D423" s="33" t="n"/>
      <c r="E423" s="33" t="n"/>
      <c r="F423" s="33" t="n"/>
    </row>
    <row r="424">
      <c r="A424" s="33" t="n"/>
      <c r="B424" s="33" t="n"/>
      <c r="C424" s="33" t="n"/>
      <c r="D424" s="33" t="n"/>
      <c r="E424" s="33" t="n"/>
      <c r="F424" s="33" t="n"/>
    </row>
    <row r="425">
      <c r="A425" s="33" t="n"/>
      <c r="B425" s="33" t="n"/>
      <c r="C425" s="33" t="n"/>
      <c r="D425" s="33" t="n"/>
      <c r="E425" s="33" t="n"/>
      <c r="F425" s="33" t="n"/>
    </row>
    <row r="426">
      <c r="A426" s="33" t="n"/>
      <c r="B426" s="33" t="n"/>
      <c r="C426" s="33" t="n"/>
      <c r="D426" s="33" t="n"/>
      <c r="E426" s="33" t="n"/>
      <c r="F426" s="33" t="n"/>
    </row>
    <row r="427">
      <c r="A427" s="33" t="n"/>
      <c r="B427" s="33" t="n"/>
      <c r="C427" s="33" t="n"/>
      <c r="D427" s="33" t="n"/>
      <c r="E427" s="33" t="n"/>
      <c r="F427" s="33" t="n"/>
    </row>
    <row r="428">
      <c r="A428" s="33" t="n"/>
      <c r="B428" s="33" t="n"/>
      <c r="C428" s="33" t="n"/>
      <c r="D428" s="33" t="n"/>
      <c r="E428" s="33" t="n"/>
      <c r="F428" s="33" t="n"/>
    </row>
    <row r="429">
      <c r="A429" s="33" t="n"/>
      <c r="B429" s="33" t="n"/>
      <c r="C429" s="33" t="n"/>
      <c r="D429" s="33" t="n"/>
      <c r="E429" s="33" t="n"/>
      <c r="F429" s="33" t="n"/>
    </row>
    <row r="430">
      <c r="A430" s="33" t="n"/>
      <c r="B430" s="33" t="n"/>
      <c r="C430" s="33" t="n"/>
      <c r="D430" s="33" t="n"/>
      <c r="E430" s="33" t="n"/>
      <c r="F430" s="33" t="n"/>
    </row>
    <row r="431">
      <c r="A431" s="33" t="n"/>
      <c r="B431" s="33" t="n"/>
      <c r="C431" s="33" t="n"/>
      <c r="D431" s="33" t="n"/>
      <c r="E431" s="33" t="n"/>
      <c r="F431" s="33" t="n"/>
    </row>
    <row r="432">
      <c r="A432" s="33" t="n"/>
      <c r="B432" s="33" t="n"/>
      <c r="C432" s="33" t="n"/>
      <c r="D432" s="33" t="n"/>
      <c r="E432" s="33" t="n"/>
      <c r="F432" s="33" t="n"/>
    </row>
    <row r="433">
      <c r="A433" s="33" t="n"/>
      <c r="B433" s="33" t="n"/>
      <c r="C433" s="33" t="n"/>
      <c r="D433" s="33" t="n"/>
      <c r="E433" s="33" t="n"/>
      <c r="F433" s="33" t="n"/>
    </row>
    <row r="434">
      <c r="A434" s="33" t="n"/>
      <c r="B434" s="33" t="n"/>
      <c r="C434" s="33" t="n"/>
      <c r="D434" s="33" t="n"/>
      <c r="E434" s="33" t="n"/>
      <c r="F434" s="33" t="n"/>
    </row>
    <row r="435">
      <c r="A435" s="33" t="n"/>
      <c r="B435" s="33" t="n"/>
      <c r="C435" s="33" t="n"/>
      <c r="D435" s="33" t="n"/>
      <c r="E435" s="33" t="n"/>
      <c r="F435" s="33" t="n"/>
    </row>
    <row r="436">
      <c r="A436" s="33" t="n"/>
      <c r="B436" s="33" t="n"/>
      <c r="C436" s="33" t="n"/>
      <c r="D436" s="33" t="n"/>
      <c r="E436" s="33" t="n"/>
      <c r="F436" s="33" t="n"/>
    </row>
    <row r="437">
      <c r="A437" s="33" t="n"/>
      <c r="B437" s="33" t="n"/>
      <c r="C437" s="33" t="n"/>
      <c r="D437" s="33" t="n"/>
      <c r="E437" s="33" t="n"/>
      <c r="F437" s="33" t="n"/>
    </row>
    <row r="438">
      <c r="A438" s="33" t="n"/>
      <c r="B438" s="33" t="n"/>
      <c r="C438" s="33" t="n"/>
      <c r="D438" s="33" t="n"/>
      <c r="E438" s="33" t="n"/>
      <c r="F438" s="33" t="n"/>
    </row>
    <row r="439">
      <c r="A439" s="33" t="n"/>
      <c r="B439" s="33" t="n"/>
      <c r="C439" s="33" t="n"/>
      <c r="D439" s="33" t="n"/>
      <c r="E439" s="33" t="n"/>
      <c r="F439" s="33" t="n"/>
    </row>
    <row r="440">
      <c r="A440" s="33" t="n"/>
      <c r="B440" s="33" t="n"/>
      <c r="C440" s="33" t="n"/>
      <c r="D440" s="33" t="n"/>
      <c r="E440" s="33" t="n"/>
      <c r="F440" s="33" t="n"/>
    </row>
    <row r="441">
      <c r="A441" s="33" t="n"/>
      <c r="B441" s="33" t="n"/>
      <c r="C441" s="33" t="n"/>
      <c r="D441" s="33" t="n"/>
      <c r="E441" s="33" t="n"/>
      <c r="F441" s="33" t="n"/>
    </row>
    <row r="442">
      <c r="A442" s="33" t="n"/>
      <c r="B442" s="33" t="n"/>
      <c r="C442" s="33" t="n"/>
      <c r="D442" s="33" t="n"/>
      <c r="E442" s="33" t="n"/>
      <c r="F442" s="33" t="n"/>
    </row>
    <row r="443">
      <c r="A443" s="33" t="n"/>
      <c r="B443" s="33" t="n"/>
      <c r="C443" s="33" t="n"/>
      <c r="D443" s="33" t="n"/>
      <c r="E443" s="33" t="n"/>
      <c r="F443" s="33" t="n"/>
    </row>
    <row r="444">
      <c r="A444" s="33" t="n"/>
      <c r="B444" s="33" t="n"/>
      <c r="C444" s="33" t="n"/>
      <c r="D444" s="33" t="n"/>
      <c r="E444" s="33" t="n"/>
      <c r="F444" s="33" t="n"/>
    </row>
    <row r="445">
      <c r="A445" s="33" t="n"/>
      <c r="B445" s="33" t="n"/>
      <c r="C445" s="33" t="n"/>
      <c r="D445" s="33" t="n"/>
      <c r="E445" s="33" t="n"/>
      <c r="F445" s="33" t="n"/>
    </row>
    <row r="446">
      <c r="A446" s="33" t="n"/>
      <c r="B446" s="33" t="n"/>
      <c r="C446" s="33" t="n"/>
      <c r="D446" s="33" t="n"/>
      <c r="E446" s="33" t="n"/>
      <c r="F446" s="33" t="n"/>
    </row>
    <row r="447">
      <c r="A447" s="33" t="n"/>
      <c r="B447" s="33" t="n"/>
      <c r="C447" s="33" t="n"/>
      <c r="D447" s="33" t="n"/>
      <c r="E447" s="33" t="n"/>
      <c r="F447" s="33" t="n"/>
    </row>
    <row r="448">
      <c r="A448" s="33" t="n"/>
      <c r="B448" s="33" t="n"/>
      <c r="C448" s="33" t="n"/>
      <c r="D448" s="33" t="n"/>
      <c r="E448" s="33" t="n"/>
      <c r="F448" s="33" t="n"/>
    </row>
    <row r="449">
      <c r="A449" s="33" t="n"/>
      <c r="B449" s="33" t="n"/>
      <c r="C449" s="33" t="n"/>
      <c r="D449" s="33" t="n"/>
      <c r="E449" s="33" t="n"/>
      <c r="F449" s="33" t="n"/>
    </row>
    <row r="450">
      <c r="A450" s="33" t="n"/>
      <c r="B450" s="33" t="n"/>
      <c r="C450" s="33" t="n"/>
      <c r="D450" s="33" t="n"/>
      <c r="E450" s="33" t="n"/>
      <c r="F450" s="33" t="n"/>
    </row>
    <row r="451">
      <c r="A451" s="33" t="n"/>
      <c r="B451" s="33" t="n"/>
      <c r="C451" s="33" t="n"/>
      <c r="D451" s="33" t="n"/>
      <c r="E451" s="33" t="n"/>
      <c r="F451" s="33" t="n"/>
    </row>
    <row r="452">
      <c r="A452" s="33" t="n"/>
      <c r="B452" s="33" t="n"/>
      <c r="C452" s="33" t="n"/>
      <c r="D452" s="33" t="n"/>
      <c r="E452" s="33" t="n"/>
      <c r="F452" s="33" t="n"/>
    </row>
    <row r="453">
      <c r="A453" s="33" t="n"/>
      <c r="B453" s="33" t="n"/>
      <c r="C453" s="33" t="n"/>
      <c r="D453" s="33" t="n"/>
      <c r="E453" s="33" t="n"/>
      <c r="F453" s="33" t="n"/>
    </row>
    <row r="454">
      <c r="A454" s="33" t="n"/>
      <c r="B454" s="33" t="n"/>
      <c r="C454" s="33" t="n"/>
      <c r="D454" s="33" t="n"/>
      <c r="E454" s="33" t="n"/>
      <c r="F454" s="33" t="n"/>
    </row>
    <row r="455">
      <c r="A455" s="33" t="n"/>
      <c r="B455" s="33" t="n"/>
      <c r="C455" s="33" t="n"/>
      <c r="D455" s="33" t="n"/>
      <c r="E455" s="33" t="n"/>
      <c r="F455" s="33" t="n"/>
    </row>
    <row r="456">
      <c r="A456" s="33" t="n"/>
      <c r="B456" s="33" t="n"/>
      <c r="C456" s="33" t="n"/>
      <c r="D456" s="33" t="n"/>
      <c r="E456" s="33" t="n"/>
      <c r="F456" s="33" t="n"/>
    </row>
    <row r="457">
      <c r="A457" s="33" t="n"/>
      <c r="B457" s="33" t="n"/>
      <c r="C457" s="33" t="n"/>
      <c r="D457" s="33" t="n"/>
      <c r="E457" s="33" t="n"/>
      <c r="F457" s="33" t="n"/>
    </row>
    <row r="458">
      <c r="A458" s="33" t="n"/>
      <c r="B458" s="33" t="n"/>
      <c r="C458" s="33" t="n"/>
      <c r="D458" s="33" t="n"/>
      <c r="E458" s="33" t="n"/>
      <c r="F458" s="33" t="n"/>
    </row>
    <row r="459">
      <c r="A459" s="33" t="n"/>
      <c r="B459" s="33" t="n"/>
      <c r="C459" s="33" t="n"/>
      <c r="D459" s="33" t="n"/>
      <c r="E459" s="33" t="n"/>
      <c r="F459" s="33" t="n"/>
    </row>
    <row r="460">
      <c r="A460" s="33" t="n"/>
      <c r="B460" s="33" t="n"/>
      <c r="C460" s="33" t="n"/>
      <c r="D460" s="33" t="n"/>
      <c r="E460" s="33" t="n"/>
      <c r="F460" s="33" t="n"/>
    </row>
    <row r="461">
      <c r="A461" s="33" t="n"/>
      <c r="B461" s="33" t="n"/>
      <c r="C461" s="33" t="n"/>
      <c r="D461" s="33" t="n"/>
      <c r="E461" s="33" t="n"/>
      <c r="F461" s="33" t="n"/>
    </row>
    <row r="462">
      <c r="A462" s="33" t="n"/>
      <c r="B462" s="33" t="n"/>
      <c r="C462" s="33" t="n"/>
      <c r="D462" s="33" t="n"/>
      <c r="E462" s="33" t="n"/>
      <c r="F462" s="33" t="n"/>
    </row>
    <row r="463">
      <c r="A463" s="33" t="n"/>
      <c r="B463" s="33" t="n"/>
      <c r="C463" s="33" t="n"/>
      <c r="D463" s="33" t="n"/>
      <c r="E463" s="33" t="n"/>
      <c r="F463" s="33" t="n"/>
    </row>
    <row r="464">
      <c r="A464" s="33" t="n"/>
      <c r="B464" s="33" t="n"/>
      <c r="C464" s="33" t="n"/>
      <c r="D464" s="33" t="n"/>
      <c r="E464" s="33" t="n"/>
      <c r="F464" s="33" t="n"/>
    </row>
    <row r="465" ht="50" customHeight="1" s="20">
      <c r="A465" s="33" t="n"/>
      <c r="B465" s="33" t="n"/>
      <c r="C465" s="33" t="n"/>
      <c r="D465" s="33" t="n"/>
      <c r="E465" s="33" t="n"/>
      <c r="F465" s="33" t="n"/>
    </row>
    <row r="466">
      <c r="A466" s="33" t="n"/>
      <c r="B466" s="33" t="n"/>
      <c r="C466" s="33" t="n"/>
      <c r="D466" s="33" t="n"/>
      <c r="E466" s="33" t="n"/>
      <c r="F466" s="33" t="n"/>
    </row>
    <row r="467">
      <c r="A467" s="33" t="n"/>
      <c r="B467" s="33" t="n"/>
      <c r="C467" s="33" t="n"/>
      <c r="D467" s="33" t="n"/>
      <c r="E467" s="33" t="n"/>
      <c r="F467" s="33" t="n"/>
    </row>
    <row r="468">
      <c r="A468" s="33" t="n"/>
      <c r="B468" s="33" t="n"/>
      <c r="C468" s="33" t="n"/>
      <c r="D468" s="33" t="n"/>
      <c r="E468" s="33" t="n"/>
      <c r="F468" s="33" t="n"/>
    </row>
    <row r="469">
      <c r="A469" s="33" t="n"/>
      <c r="B469" s="33" t="n"/>
      <c r="C469" s="33" t="n"/>
      <c r="D469" s="33" t="n"/>
      <c r="E469" s="33" t="n"/>
      <c r="F469" s="33" t="n"/>
    </row>
    <row r="470">
      <c r="A470" s="33" t="n"/>
      <c r="B470" s="33" t="n"/>
      <c r="C470" s="33" t="n"/>
      <c r="D470" s="33" t="n"/>
      <c r="E470" s="33" t="n"/>
      <c r="F470" s="33" t="n"/>
    </row>
    <row r="471">
      <c r="A471" s="33" t="n"/>
      <c r="B471" s="33" t="n"/>
      <c r="C471" s="33" t="n"/>
      <c r="D471" s="33" t="n"/>
      <c r="E471" s="33" t="n"/>
      <c r="F471" s="33" t="n"/>
    </row>
    <row r="472">
      <c r="A472" s="33" t="n"/>
      <c r="B472" s="33" t="n"/>
      <c r="C472" s="33" t="n"/>
      <c r="D472" s="33" t="n"/>
      <c r="E472" s="33" t="n"/>
      <c r="F472" s="33" t="n"/>
    </row>
    <row r="473">
      <c r="A473" s="33" t="n"/>
      <c r="B473" s="33" t="n"/>
      <c r="C473" s="33" t="n"/>
      <c r="D473" s="33" t="n"/>
      <c r="E473" s="33" t="n"/>
      <c r="F473" s="33" t="n"/>
    </row>
    <row r="474">
      <c r="A474" s="33" t="n"/>
      <c r="B474" s="33" t="n"/>
      <c r="C474" s="33" t="n"/>
      <c r="D474" s="33" t="n"/>
      <c r="E474" s="33" t="n"/>
      <c r="F474" s="33" t="n"/>
    </row>
    <row r="475">
      <c r="A475" s="33" t="n"/>
      <c r="B475" s="33" t="n"/>
      <c r="C475" s="33" t="n"/>
      <c r="D475" s="33" t="n"/>
      <c r="E475" s="33" t="n"/>
      <c r="F475" s="33" t="n"/>
    </row>
    <row r="476">
      <c r="A476" s="33" t="n"/>
      <c r="B476" s="33" t="n"/>
      <c r="C476" s="33" t="n"/>
      <c r="D476" s="33" t="n"/>
      <c r="E476" s="33" t="n"/>
      <c r="F476" s="33" t="n"/>
    </row>
    <row r="477">
      <c r="A477" s="33" t="n"/>
      <c r="B477" s="33" t="n"/>
      <c r="C477" s="33" t="n"/>
      <c r="D477" s="33" t="n"/>
      <c r="E477" s="33" t="n"/>
      <c r="F477" s="33" t="n"/>
    </row>
    <row r="478">
      <c r="A478" s="33" t="n"/>
      <c r="B478" s="33" t="n"/>
      <c r="C478" s="33" t="n"/>
      <c r="D478" s="33" t="n"/>
      <c r="E478" s="33" t="n"/>
      <c r="F478" s="33" t="n"/>
    </row>
    <row r="479">
      <c r="A479" s="33" t="n"/>
      <c r="B479" s="33" t="n"/>
      <c r="C479" s="33" t="n"/>
      <c r="D479" s="33" t="n"/>
      <c r="E479" s="33" t="n"/>
      <c r="F479" s="33" t="n"/>
    </row>
    <row r="480">
      <c r="A480" s="33" t="n"/>
      <c r="B480" s="33" t="n"/>
      <c r="C480" s="33" t="n"/>
      <c r="D480" s="33" t="n"/>
      <c r="E480" s="33" t="n"/>
      <c r="F480" s="33" t="n"/>
    </row>
    <row r="481">
      <c r="A481" s="33" t="n"/>
      <c r="B481" s="33" t="n"/>
      <c r="C481" s="33" t="n"/>
      <c r="D481" s="33" t="n"/>
      <c r="E481" s="33" t="n"/>
      <c r="F481" s="33" t="n"/>
    </row>
    <row r="482">
      <c r="A482" s="33" t="n"/>
      <c r="B482" s="33" t="n"/>
      <c r="C482" s="33" t="n"/>
      <c r="D482" s="33" t="n"/>
      <c r="E482" s="33" t="n"/>
      <c r="F482" s="33" t="n"/>
    </row>
    <row r="483">
      <c r="A483" s="33" t="n"/>
      <c r="B483" s="33" t="n"/>
      <c r="C483" s="33" t="n"/>
      <c r="D483" s="33" t="n"/>
      <c r="E483" s="33" t="n"/>
      <c r="F483" s="33" t="n"/>
    </row>
    <row r="484">
      <c r="A484" s="33" t="n"/>
      <c r="B484" s="33" t="n"/>
      <c r="C484" s="33" t="n"/>
      <c r="D484" s="33" t="n"/>
      <c r="E484" s="33" t="n"/>
      <c r="F484" s="33" t="n"/>
    </row>
    <row r="485">
      <c r="A485" s="33" t="n"/>
      <c r="B485" s="33" t="n"/>
      <c r="C485" s="33" t="n"/>
      <c r="D485" s="33" t="n"/>
      <c r="E485" s="33" t="n"/>
      <c r="F485" s="33" t="n"/>
    </row>
    <row r="486">
      <c r="A486" s="33" t="n"/>
      <c r="B486" s="33" t="n"/>
      <c r="C486" s="33" t="n"/>
      <c r="D486" s="33" t="n"/>
      <c r="E486" s="33" t="n"/>
      <c r="F486" s="33" t="n"/>
    </row>
    <row r="487">
      <c r="A487" s="33" t="n"/>
      <c r="B487" s="33" t="n"/>
      <c r="C487" s="33" t="n"/>
      <c r="D487" s="33" t="n"/>
      <c r="E487" s="33" t="n"/>
      <c r="F487" s="33" t="n"/>
    </row>
    <row r="488">
      <c r="A488" s="33" t="n"/>
      <c r="B488" s="33" t="n"/>
      <c r="C488" s="33" t="n"/>
      <c r="D488" s="33" t="n"/>
      <c r="E488" s="33" t="n"/>
      <c r="F488" s="33" t="n"/>
    </row>
    <row r="489">
      <c r="A489" s="33" t="n"/>
      <c r="B489" s="33" t="n"/>
      <c r="C489" s="33" t="n"/>
      <c r="D489" s="33" t="n"/>
      <c r="E489" s="33" t="n"/>
      <c r="F489" s="33" t="n"/>
    </row>
    <row r="490">
      <c r="A490" s="33" t="n"/>
      <c r="B490" s="33" t="n"/>
      <c r="C490" s="33" t="n"/>
      <c r="D490" s="33" t="n"/>
      <c r="E490" s="33" t="n"/>
      <c r="F490" s="33" t="n"/>
    </row>
    <row r="491">
      <c r="A491" s="33" t="n"/>
      <c r="B491" s="33" t="n"/>
      <c r="C491" s="33" t="n"/>
      <c r="D491" s="33" t="n"/>
      <c r="E491" s="33" t="n"/>
      <c r="F491" s="33" t="n"/>
    </row>
    <row r="492">
      <c r="A492" s="33" t="n"/>
      <c r="B492" s="33" t="n"/>
      <c r="C492" s="33" t="n"/>
      <c r="D492" s="33" t="n"/>
      <c r="E492" s="33" t="n"/>
      <c r="F492" s="33" t="n"/>
    </row>
    <row r="493">
      <c r="A493" s="33" t="n"/>
      <c r="B493" s="33" t="n"/>
      <c r="C493" s="33" t="n"/>
      <c r="D493" s="33" t="n"/>
      <c r="E493" s="33" t="n"/>
      <c r="F493" s="33" t="n"/>
    </row>
    <row r="494">
      <c r="A494" s="33" t="n"/>
      <c r="B494" s="33" t="n"/>
      <c r="C494" s="33" t="n"/>
      <c r="D494" s="33" t="n"/>
      <c r="E494" s="33" t="n"/>
      <c r="F494" s="33" t="n"/>
    </row>
    <row r="495">
      <c r="A495" s="33" t="n"/>
      <c r="B495" s="33" t="n"/>
      <c r="C495" s="33" t="n"/>
      <c r="D495" s="33" t="n"/>
      <c r="E495" s="33" t="n"/>
      <c r="F495" s="33" t="n"/>
    </row>
    <row r="496">
      <c r="A496" s="33" t="n"/>
      <c r="B496" s="33" t="n"/>
      <c r="C496" s="33" t="n"/>
      <c r="D496" s="33" t="n"/>
      <c r="E496" s="33" t="n"/>
      <c r="F496" s="33" t="n"/>
    </row>
    <row r="497">
      <c r="A497" s="33" t="n"/>
      <c r="B497" s="33" t="n"/>
      <c r="C497" s="33" t="n"/>
      <c r="D497" s="33" t="n"/>
      <c r="E497" s="33" t="n"/>
      <c r="F497" s="33" t="n"/>
    </row>
    <row r="498">
      <c r="A498" s="33" t="n"/>
      <c r="B498" s="33" t="n"/>
      <c r="C498" s="33" t="n"/>
      <c r="D498" s="33" t="n"/>
      <c r="E498" s="33" t="n"/>
      <c r="F498" s="33" t="n"/>
    </row>
    <row r="499">
      <c r="A499" s="33" t="n"/>
      <c r="B499" s="33" t="n"/>
      <c r="C499" s="33" t="n"/>
      <c r="D499" s="33" t="n"/>
      <c r="E499" s="33" t="n"/>
      <c r="F499" s="33" t="n"/>
    </row>
    <row r="500">
      <c r="A500" s="33" t="n"/>
      <c r="B500" s="33" t="n"/>
      <c r="C500" s="33" t="n"/>
      <c r="D500" s="33" t="n"/>
      <c r="E500" s="33" t="n"/>
      <c r="F500" s="33" t="n"/>
    </row>
    <row r="501">
      <c r="A501" s="33" t="n"/>
      <c r="B501" s="33" t="n"/>
      <c r="C501" s="33" t="n"/>
      <c r="D501" s="33" t="n"/>
      <c r="E501" s="33" t="n"/>
      <c r="F501" s="33" t="n"/>
    </row>
    <row r="502" ht="25" customHeight="1" s="20">
      <c r="A502" s="33" t="n"/>
      <c r="B502" s="33" t="n"/>
      <c r="C502" s="33" t="n"/>
      <c r="D502" s="33" t="n"/>
      <c r="E502" s="33" t="n"/>
      <c r="F502" s="33" t="n"/>
    </row>
    <row r="503">
      <c r="A503" s="33" t="n"/>
      <c r="B503" s="33" t="n"/>
      <c r="C503" s="33" t="n"/>
      <c r="D503" s="33" t="n"/>
      <c r="E503" s="33" t="n"/>
      <c r="F503" s="33" t="n"/>
    </row>
    <row r="504">
      <c r="A504" s="33" t="n"/>
      <c r="B504" s="33" t="n"/>
      <c r="C504" s="33" t="n"/>
      <c r="D504" s="33" t="n"/>
      <c r="E504" s="33" t="n"/>
      <c r="F504" s="33" t="n"/>
    </row>
    <row r="505">
      <c r="A505" s="33" t="n"/>
      <c r="B505" s="33" t="n"/>
      <c r="C505" s="33" t="n"/>
      <c r="D505" s="33" t="n"/>
      <c r="E505" s="33" t="n"/>
      <c r="F505" s="33" t="n"/>
    </row>
    <row r="506">
      <c r="A506" s="33" t="n"/>
      <c r="B506" s="33" t="n"/>
      <c r="C506" s="33" t="n"/>
      <c r="D506" s="33" t="n"/>
      <c r="E506" s="33" t="n"/>
      <c r="F506" s="33" t="n"/>
    </row>
    <row r="507">
      <c r="A507" s="33" t="n"/>
      <c r="B507" s="33" t="n"/>
      <c r="C507" s="33" t="n"/>
      <c r="D507" s="33" t="n"/>
      <c r="E507" s="33" t="n"/>
      <c r="F507" s="33" t="n"/>
    </row>
    <row r="508">
      <c r="A508" s="33" t="n"/>
      <c r="B508" s="33" t="n"/>
      <c r="C508" s="33" t="n"/>
      <c r="D508" s="33" t="n"/>
      <c r="E508" s="33" t="n"/>
      <c r="F508" s="33" t="n"/>
    </row>
    <row r="509">
      <c r="A509" s="33" t="n"/>
      <c r="B509" s="33" t="n"/>
      <c r="C509" s="33" t="n"/>
      <c r="D509" s="33" t="n"/>
      <c r="E509" s="33" t="n"/>
      <c r="F509" s="33" t="n"/>
    </row>
    <row r="510">
      <c r="A510" s="33" t="n"/>
      <c r="B510" s="33" t="n"/>
      <c r="C510" s="33" t="n"/>
      <c r="D510" s="33" t="n"/>
      <c r="E510" s="33" t="n"/>
      <c r="F510" s="33" t="n"/>
    </row>
    <row r="511">
      <c r="A511" s="33" t="n"/>
      <c r="B511" s="33" t="n"/>
      <c r="C511" s="33" t="n"/>
      <c r="D511" s="33" t="n"/>
      <c r="E511" s="33" t="n"/>
      <c r="F511" s="33" t="n"/>
    </row>
    <row r="512">
      <c r="A512" s="33" t="n"/>
      <c r="B512" s="33" t="n"/>
      <c r="C512" s="33" t="n"/>
      <c r="D512" s="33" t="n"/>
      <c r="E512" s="33" t="n"/>
      <c r="F512" s="33" t="n"/>
    </row>
    <row r="513">
      <c r="A513" s="33" t="n"/>
      <c r="B513" s="33" t="n"/>
      <c r="C513" s="33" t="n"/>
      <c r="D513" s="33" t="n"/>
      <c r="E513" s="33" t="n"/>
      <c r="F513" s="33" t="n"/>
    </row>
    <row r="514">
      <c r="A514" s="33" t="n"/>
      <c r="B514" s="33" t="n"/>
      <c r="C514" s="33" t="n"/>
      <c r="D514" s="33" t="n"/>
      <c r="E514" s="33" t="n"/>
      <c r="F514" s="33" t="n"/>
    </row>
    <row r="515">
      <c r="A515" s="33" t="n"/>
      <c r="B515" s="33" t="n"/>
      <c r="C515" s="33" t="n"/>
      <c r="D515" s="33" t="n"/>
      <c r="E515" s="33" t="n"/>
      <c r="F515" s="33" t="n"/>
    </row>
    <row r="516">
      <c r="A516" s="33" t="n"/>
      <c r="B516" s="33" t="n"/>
      <c r="C516" s="33" t="n"/>
      <c r="D516" s="33" t="n"/>
      <c r="E516" s="33" t="n"/>
      <c r="F516" s="33" t="n"/>
    </row>
    <row r="517">
      <c r="A517" s="33" t="n"/>
      <c r="B517" s="33" t="n"/>
      <c r="C517" s="33" t="n"/>
      <c r="D517" s="33" t="n"/>
      <c r="E517" s="33" t="n"/>
      <c r="F517" s="33" t="n"/>
    </row>
    <row r="518">
      <c r="A518" s="33" t="n"/>
      <c r="B518" s="33" t="n"/>
      <c r="C518" s="33" t="n"/>
      <c r="D518" s="33" t="n"/>
      <c r="E518" s="33" t="n"/>
      <c r="F518" s="33" t="n"/>
    </row>
    <row r="519">
      <c r="A519" s="33" t="n"/>
      <c r="B519" s="33" t="n"/>
      <c r="C519" s="33" t="n"/>
      <c r="D519" s="33" t="n"/>
      <c r="E519" s="33" t="n"/>
      <c r="F519" s="33" t="n"/>
    </row>
    <row r="520">
      <c r="A520" s="33" t="n"/>
      <c r="B520" s="33" t="n"/>
      <c r="C520" s="33" t="n"/>
      <c r="D520" s="33" t="n"/>
      <c r="E520" s="33" t="n"/>
      <c r="F520" s="33" t="n"/>
    </row>
    <row r="521">
      <c r="A521" s="33" t="n"/>
      <c r="B521" s="33" t="n"/>
      <c r="C521" s="33" t="n"/>
      <c r="D521" s="33" t="n"/>
      <c r="E521" s="33" t="n"/>
      <c r="F521" s="33" t="n"/>
    </row>
    <row r="522">
      <c r="A522" s="33" t="n"/>
      <c r="B522" s="33" t="n"/>
      <c r="C522" s="33" t="n"/>
      <c r="D522" s="33" t="n"/>
      <c r="E522" s="33" t="n"/>
      <c r="F522" s="33" t="n"/>
    </row>
    <row r="523">
      <c r="A523" s="33" t="n"/>
      <c r="B523" s="33" t="n"/>
      <c r="C523" s="33" t="n"/>
      <c r="D523" s="33" t="n"/>
      <c r="E523" s="33" t="n"/>
      <c r="F523" s="33" t="n"/>
    </row>
    <row r="524">
      <c r="A524" s="33" t="n"/>
      <c r="B524" s="33" t="n"/>
      <c r="C524" s="33" t="n"/>
      <c r="D524" s="33" t="n"/>
      <c r="E524" s="33" t="n"/>
      <c r="F524" s="33" t="n"/>
    </row>
    <row r="525">
      <c r="A525" s="33" t="n"/>
      <c r="B525" s="33" t="n"/>
      <c r="C525" s="33" t="n"/>
      <c r="D525" s="33" t="n"/>
      <c r="E525" s="33" t="n"/>
      <c r="F525" s="33" t="n"/>
    </row>
    <row r="526">
      <c r="A526" s="33" t="n"/>
      <c r="B526" s="33" t="n"/>
      <c r="C526" s="33" t="n"/>
      <c r="D526" s="33" t="n"/>
      <c r="E526" s="33" t="n"/>
      <c r="F526" s="33" t="n"/>
    </row>
    <row r="527">
      <c r="A527" s="33" t="n"/>
      <c r="B527" s="33" t="n"/>
      <c r="C527" s="33" t="n"/>
      <c r="D527" s="33" t="n"/>
      <c r="E527" s="33" t="n"/>
      <c r="F527" s="33" t="n"/>
    </row>
    <row r="528">
      <c r="A528" s="33" t="n"/>
      <c r="B528" s="33" t="n"/>
      <c r="C528" s="33" t="n"/>
      <c r="D528" s="33" t="n"/>
      <c r="E528" s="33" t="n"/>
      <c r="F528" s="33" t="n"/>
    </row>
    <row r="529">
      <c r="A529" s="33" t="n"/>
      <c r="B529" s="33" t="n"/>
      <c r="C529" s="33" t="n"/>
      <c r="D529" s="33" t="n"/>
      <c r="E529" s="33" t="n"/>
      <c r="F529" s="33" t="n"/>
    </row>
    <row r="530">
      <c r="A530" s="33" t="n"/>
      <c r="B530" s="33" t="n"/>
      <c r="C530" s="33" t="n"/>
      <c r="D530" s="33" t="n"/>
      <c r="E530" s="33" t="n"/>
      <c r="F530" s="33" t="n"/>
    </row>
    <row r="531">
      <c r="A531" s="33" t="n"/>
      <c r="B531" s="33" t="n"/>
      <c r="C531" s="33" t="n"/>
      <c r="D531" s="33" t="n"/>
      <c r="E531" s="33" t="n"/>
      <c r="F531" s="33" t="n"/>
    </row>
    <row r="532">
      <c r="A532" s="33" t="n"/>
      <c r="B532" s="33" t="n"/>
      <c r="C532" s="33" t="n"/>
      <c r="D532" s="33" t="n"/>
      <c r="E532" s="33" t="n"/>
      <c r="F532" s="33" t="n"/>
    </row>
    <row r="533">
      <c r="A533" s="33" t="n"/>
      <c r="B533" s="33" t="n"/>
      <c r="C533" s="33" t="n"/>
      <c r="D533" s="33" t="n"/>
      <c r="E533" s="33" t="n"/>
      <c r="F533" s="33" t="n"/>
    </row>
    <row r="534">
      <c r="A534" s="33" t="n"/>
      <c r="B534" s="33" t="n"/>
      <c r="C534" s="33" t="n"/>
      <c r="D534" s="33" t="n"/>
      <c r="E534" s="33" t="n"/>
      <c r="F534" s="33" t="n"/>
    </row>
    <row r="535">
      <c r="A535" s="33" t="n"/>
      <c r="B535" s="33" t="n"/>
      <c r="C535" s="33" t="n"/>
      <c r="D535" s="33" t="n"/>
      <c r="E535" s="33" t="n"/>
      <c r="F535" s="33" t="n"/>
    </row>
    <row r="536">
      <c r="A536" s="33" t="n"/>
      <c r="B536" s="33" t="n"/>
      <c r="C536" s="33" t="n"/>
      <c r="D536" s="33" t="n"/>
      <c r="E536" s="33" t="n"/>
      <c r="F536" s="33" t="n"/>
    </row>
    <row r="537">
      <c r="A537" s="33" t="n"/>
      <c r="B537" s="33" t="n"/>
      <c r="C537" s="33" t="n"/>
      <c r="D537" s="33" t="n"/>
      <c r="E537" s="33" t="n"/>
      <c r="F537" s="33" t="n"/>
    </row>
    <row r="538">
      <c r="A538" s="33" t="n"/>
      <c r="B538" s="33" t="n"/>
      <c r="C538" s="33" t="n"/>
      <c r="D538" s="33" t="n"/>
      <c r="E538" s="33" t="n"/>
      <c r="F538" s="33" t="n"/>
    </row>
    <row r="539">
      <c r="A539" s="33" t="n"/>
      <c r="B539" s="33" t="n"/>
      <c r="C539" s="33" t="n"/>
      <c r="D539" s="33" t="n"/>
      <c r="E539" s="33" t="n"/>
      <c r="F539" s="33" t="n"/>
    </row>
    <row r="540">
      <c r="A540" s="33" t="n"/>
      <c r="B540" s="33" t="n"/>
      <c r="C540" s="33" t="n"/>
      <c r="D540" s="33" t="n"/>
      <c r="E540" s="33" t="n"/>
      <c r="F540" s="33" t="n"/>
    </row>
    <row r="541">
      <c r="A541" s="33" t="n"/>
      <c r="B541" s="33" t="n"/>
      <c r="C541" s="33" t="n"/>
      <c r="D541" s="33" t="n"/>
      <c r="E541" s="33" t="n"/>
      <c r="F541" s="33" t="n"/>
    </row>
    <row r="542">
      <c r="A542" s="33" t="n"/>
      <c r="B542" s="33" t="n"/>
      <c r="C542" s="33" t="n"/>
      <c r="D542" s="33" t="n"/>
      <c r="E542" s="33" t="n"/>
      <c r="F542" s="33" t="n"/>
    </row>
    <row r="543" ht="25" customHeight="1" s="20">
      <c r="A543" s="33" t="n"/>
      <c r="B543" s="33" t="n"/>
      <c r="C543" s="33" t="n"/>
      <c r="D543" s="33" t="n"/>
      <c r="E543" s="33" t="n"/>
      <c r="F543" s="3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J46"/>
  <sheetViews>
    <sheetView showGridLines="0" workbookViewId="0">
      <pane xSplit="2" ySplit="4" topLeftCell="C3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20" min="1" max="1"/>
    <col width="11" customWidth="1" style="20" min="2" max="2"/>
    <col width="44" customWidth="1" style="20" min="3" max="3"/>
    <col width="40" customWidth="1" style="20" min="4" max="4"/>
    <col width="7" customWidth="1" style="20" min="5" max="5"/>
    <col width="58" customWidth="1" style="20" min="6" max="6"/>
    <col width="12" customWidth="1" style="20" min="7" max="7"/>
    <col width="52" customWidth="1" style="20" min="8" max="8"/>
    <col width="42" customWidth="1" style="20" min="9" max="9"/>
    <col width="30" customWidth="1" style="20" min="10" max="10"/>
  </cols>
  <sheetData>
    <row r="1" ht="20" customHeight="1" s="20">
      <c r="A1" s="1" t="inlineStr">
        <is>
          <t>Synchronous Service-to-Service Calls</t>
        </is>
      </c>
    </row>
    <row r="2">
      <c r="A2" s="2" t="inlineStr">
        <is>
          <t>All via @LoadBalanced WebClient resolving Eureka names; header X-Gateway-Key sent on every call.</t>
        </is>
      </c>
    </row>
    <row r="4" ht="26" customHeight="1" s="20">
      <c r="A4" s="8" t="inlineStr">
        <is>
          <t>ID</t>
        </is>
      </c>
      <c r="B4" s="8" t="inlineStr">
        <is>
          <t>Caller service</t>
        </is>
      </c>
      <c r="C4" s="8" t="inlineStr">
        <is>
          <t>Caller class.method</t>
        </is>
      </c>
      <c r="D4" s="8" t="inlineStr">
        <is>
          <t>Client method</t>
        </is>
      </c>
      <c r="E4" s="8" t="inlineStr">
        <is>
          <t>HTTP</t>
        </is>
      </c>
      <c r="F4" s="8" t="inlineStr">
        <is>
          <t>Target URL</t>
        </is>
      </c>
      <c r="G4" s="8" t="inlineStr">
        <is>
          <t>Target service</t>
        </is>
      </c>
      <c r="H4" s="8" t="inlineStr">
        <is>
          <t>Target handler -&gt; service</t>
        </is>
      </c>
      <c r="I4" s="8" t="inlineStr">
        <is>
          <t>Purpose</t>
        </is>
      </c>
      <c r="J4" s="8" t="inlineStr">
        <is>
          <t>Failure handling</t>
        </is>
      </c>
    </row>
    <row r="5" ht="37.5" customHeight="1" s="20">
      <c r="A5" s="23" t="inlineStr">
        <is>
          <t>ISC-01</t>
        </is>
      </c>
      <c r="B5" s="23" t="inlineStr">
        <is>
          <t>Product</t>
        </is>
      </c>
      <c r="C5" s="23" t="inlineStr">
        <is>
          <t>PolicyService.createApplication (validateQuoteIfPresent)</t>
        </is>
      </c>
      <c r="D5" s="23" t="inlineStr">
        <is>
          <t>FinancialServiceClient.validateQuote()</t>
        </is>
      </c>
      <c r="E5" s="13" t="inlineStr">
        <is>
          <t>POST</t>
        </is>
      </c>
      <c r="F5" s="23" t="inlineStr">
        <is>
          <t>http://FINANCIAL-SERVICE/internal/financial/quotes/{quoteId}/validate</t>
        </is>
      </c>
      <c r="G5" s="23" t="inlineStr">
        <is>
          <t>Financial</t>
        </is>
      </c>
      <c r="H5" s="23" t="inlineStr">
        <is>
          <t>QuoteHandler.validateInternal -&gt; QuoteService.validateInternal()</t>
        </is>
      </c>
      <c r="I5" s="23" t="inlineStr">
        <is>
          <t>Validate quote matches application; returns premium</t>
        </is>
      </c>
      <c r="J5" s="23" t="inlineStr">
        <is>
          <t>Error -&gt; application rejected (ValidationException)</t>
        </is>
      </c>
    </row>
    <row r="6" ht="25" customHeight="1" s="20">
      <c r="A6" s="23" t="inlineStr">
        <is>
          <t>ISC-02</t>
        </is>
      </c>
      <c r="B6" s="23" t="inlineStr">
        <is>
          <t>Product</t>
        </is>
      </c>
      <c r="C6" s="23" t="inlineStr">
        <is>
          <t>PolicyService.resolvePremium</t>
        </is>
      </c>
      <c r="D6" s="23" t="inlineStr">
        <is>
          <t>FinancialServiceClient.calculatePremium()</t>
        </is>
      </c>
      <c r="E6" s="13" t="inlineStr">
        <is>
          <t>POST</t>
        </is>
      </c>
      <c r="F6" s="23" t="inlineStr">
        <is>
          <t>http://FINANCIAL-SERVICE/internal/financial/pricing/calculate</t>
        </is>
      </c>
      <c r="G6" s="23" t="inlineStr">
        <is>
          <t>Financial</t>
        </is>
      </c>
      <c r="H6" s="23" t="inlineStr">
        <is>
          <t>QuoteHandler.priceInternal -&gt; QuoteService.priceInternal()</t>
        </is>
      </c>
      <c r="I6" s="23" t="inlineStr">
        <is>
          <t>Price application without quote</t>
        </is>
      </c>
      <c r="J6" s="23" t="inlineStr">
        <is>
          <t>onErrorResume -&gt; empty -&gt; flat temporary premium</t>
        </is>
      </c>
    </row>
    <row r="7" ht="25" customHeight="1" s="20">
      <c r="A7" s="23" t="inlineStr">
        <is>
          <t>ISC-03</t>
        </is>
      </c>
      <c r="B7" s="23" t="inlineStr">
        <is>
          <t>Product</t>
        </is>
      </c>
      <c r="C7" s="23" t="inlineStr">
        <is>
          <t>PolicyService.savePendingApplication (consumeQuoteIfPresent)</t>
        </is>
      </c>
      <c r="D7" s="23" t="inlineStr">
        <is>
          <t>FinancialServiceClient.consumeQuote()</t>
        </is>
      </c>
      <c r="E7" s="13" t="inlineStr">
        <is>
          <t>PUT</t>
        </is>
      </c>
      <c r="F7" s="23" t="inlineStr">
        <is>
          <t>http://FINANCIAL-SERVICE/internal/financial/quotes/{quoteId}/consume</t>
        </is>
      </c>
      <c r="G7" s="23" t="inlineStr">
        <is>
          <t>Financial</t>
        </is>
      </c>
      <c r="H7" s="23" t="inlineStr">
        <is>
          <t>QuoteHandler.consumeInternal -&gt; QuoteService.consume()</t>
        </is>
      </c>
      <c r="I7" s="23" t="inlineStr">
        <is>
          <t>Bind quote to policy (CONSUMED)</t>
        </is>
      </c>
      <c r="J7" s="23" t="inlineStr">
        <is>
          <t>Propagates error</t>
        </is>
      </c>
    </row>
    <row r="8" ht="25" customHeight="1" s="20">
      <c r="A8" s="23" t="inlineStr">
        <is>
          <t>ISC-04</t>
        </is>
      </c>
      <c r="B8" s="23" t="inlineStr">
        <is>
          <t>Product</t>
        </is>
      </c>
      <c r="C8" s="23" t="inlineStr">
        <is>
          <t>PolicyService.getActiveZones / PolicyHandler.getActiveZones</t>
        </is>
      </c>
      <c r="D8" s="23" t="inlineStr">
        <is>
          <t>TriggerServiceClient.getActiveZonesList() / getActiveZones()</t>
        </is>
      </c>
      <c r="E8" s="13" t="inlineStr">
        <is>
          <t>GET</t>
        </is>
      </c>
      <c r="F8" s="23" t="inlineStr">
        <is>
          <t>http://TRIGGER-SERVICE/internal/triggers/zones/active</t>
        </is>
      </c>
      <c r="G8" s="23" t="inlineStr">
        <is>
          <t>Trigger</t>
        </is>
      </c>
      <c r="H8" s="23" t="inlineStr">
        <is>
          <t>LocationZoneHandler.getInternalActive -&gt; LocationZoneService.getActiveInternal()</t>
        </is>
      </c>
      <c r="I8" s="23" t="inlineStr">
        <is>
          <t>Zones for policy form</t>
        </is>
      </c>
      <c r="J8" s="23" t="inlineStr">
        <is>
          <t>-</t>
        </is>
      </c>
    </row>
    <row r="9" ht="25" customHeight="1" s="20">
      <c r="A9" s="23" t="inlineStr">
        <is>
          <t>ISC-05</t>
        </is>
      </c>
      <c r="B9" s="23" t="inlineStr">
        <is>
          <t>Product</t>
        </is>
      </c>
      <c r="C9" s="23" t="inlineStr">
        <is>
          <t>PolicyCertificateService.forCustomer / forStaff</t>
        </is>
      </c>
      <c r="D9" s="23" t="inlineStr">
        <is>
          <t>TriggerServiceClient.getZoneById()</t>
        </is>
      </c>
      <c r="E9" s="13" t="inlineStr">
        <is>
          <t>GET</t>
        </is>
      </c>
      <c r="F9" s="23" t="inlineStr">
        <is>
          <t>http://TRIGGER-SERVICE/internal/triggers/zones/{zoneId}</t>
        </is>
      </c>
      <c r="G9" s="23" t="inlineStr">
        <is>
          <t>Trigger</t>
        </is>
      </c>
      <c r="H9" s="23" t="inlineStr">
        <is>
          <t>LocationZoneHandler.getInternalById -&gt; LocationZoneService.getInternalById()</t>
        </is>
      </c>
      <c r="I9" s="23" t="inlineStr">
        <is>
          <t>Zone name on certificate PDF</t>
        </is>
      </c>
      <c r="J9" s="23" t="inlineStr">
        <is>
          <t>-</t>
        </is>
      </c>
    </row>
    <row r="10" ht="25" customHeight="1" s="20">
      <c r="A10" s="23" t="inlineStr">
        <is>
          <t>ISC-06</t>
        </is>
      </c>
      <c r="B10" s="23" t="inlineStr">
        <is>
          <t>Product</t>
        </is>
      </c>
      <c r="C10" s="23" t="inlineStr">
        <is>
          <t>ProductService.getMeasurementStatus / getPublicMeasurementStatus</t>
        </is>
      </c>
      <c r="D10" s="23" t="inlineStr">
        <is>
          <t>TriggerServiceClient.getCurrentMeasurements()</t>
        </is>
      </c>
      <c r="E10" s="13" t="inlineStr">
        <is>
          <t>GET</t>
        </is>
      </c>
      <c r="F10" s="23" t="inlineStr">
        <is>
          <t>http://TRIGGER-SERVICE/internal/triggers/measurements/current</t>
        </is>
      </c>
      <c r="G10" s="23" t="inlineStr">
        <is>
          <t>Trigger</t>
        </is>
      </c>
      <c r="H10" s="23" t="inlineStr">
        <is>
          <t>MeasurementHandler.getCurrentMeasurementsInternal -&gt; MeasurementService.getCurrentMeasurements()</t>
        </is>
      </c>
      <c r="I10" s="23" t="inlineStr">
        <is>
          <t>Measurement console values</t>
        </is>
      </c>
      <c r="J10" s="23" t="inlineStr">
        <is>
          <t>-</t>
        </is>
      </c>
    </row>
    <row r="11" ht="25" customHeight="1" s="20">
      <c r="A11" s="23" t="inlineStr">
        <is>
          <t>ISC-07</t>
        </is>
      </c>
      <c r="B11" s="23" t="inlineStr">
        <is>
          <t>Product</t>
        </is>
      </c>
      <c r="C11" s="23" t="inlineStr">
        <is>
          <t>ProductService.createCustomerDefinedProduct / syncTrigger -&gt; syncDefinition</t>
        </is>
      </c>
      <c r="D11" s="23" t="inlineStr">
        <is>
          <t>TriggerServiceClient.syncProductDefinition()</t>
        </is>
      </c>
      <c r="E11" s="13" t="inlineStr">
        <is>
          <t>PUT</t>
        </is>
      </c>
      <c r="F11" s="23" t="inlineStr">
        <is>
          <t>http://TRIGGER-SERVICE/internal/triggers/products/{productId}/definition</t>
        </is>
      </c>
      <c r="G11" s="23" t="inlineStr">
        <is>
          <t>Trigger</t>
        </is>
      </c>
      <c r="H11" s="23" t="inlineStr">
        <is>
          <t>TriggerDefinitionHandler.syncProductDefinition -&gt; ProductTriggerSyncService.syncProductDefinition()</t>
        </is>
      </c>
      <c r="I11" s="23" t="inlineStr">
        <is>
          <t>Mirror product trigger as per-zone trigger definitions</t>
        </is>
      </c>
      <c r="J11" s="23" t="inlineStr">
        <is>
          <t>onErrorResume -&gt; product triggerSyncStatus=FAILED</t>
        </is>
      </c>
    </row>
    <row r="12" ht="25" customHeight="1" s="20">
      <c r="A12" s="23" t="inlineStr">
        <is>
          <t>ISC-08</t>
        </is>
      </c>
      <c r="B12" s="23" t="inlineStr">
        <is>
          <t>Product</t>
        </is>
      </c>
      <c r="C12" s="23" t="inlineStr">
        <is>
          <t>NotificationService (product)</t>
        </is>
      </c>
      <c r="D12" s="23" t="inlineStr">
        <is>
          <t>NotificationServiceClient.sendNotification()</t>
        </is>
      </c>
      <c r="E12" s="13" t="inlineStr">
        <is>
          <t>POST</t>
        </is>
      </c>
      <c r="F12" s="23" t="inlineStr">
        <is>
          <t>http://NOTIFICATION-SERVICE/internal/notifications</t>
        </is>
      </c>
      <c r="G12" s="23" t="inlineStr">
        <is>
          <t>Notification</t>
        </is>
      </c>
      <c r="H12" s="23" t="inlineStr">
        <is>
          <t>NotificationHandler.create -&gt; NotificationService.create()</t>
        </is>
      </c>
      <c r="I12" s="23" t="inlineStr">
        <is>
          <t>POLICY_*, PRODUCT_* in-app notifications</t>
        </is>
      </c>
      <c r="J12" s="23" t="inlineStr">
        <is>
          <t>onErrorResume -&gt; ignored</t>
        </is>
      </c>
    </row>
    <row r="13" ht="25" customHeight="1" s="20">
      <c r="A13" s="23" t="inlineStr">
        <is>
          <t>ISC-09</t>
        </is>
      </c>
      <c r="B13" s="23" t="inlineStr">
        <is>
          <t>Claims</t>
        </is>
      </c>
      <c r="C13" s="23" t="inlineStr">
        <is>
          <t>ClaimService.getPolicy (createClaim)</t>
        </is>
      </c>
      <c r="D13" s="23" t="inlineStr">
        <is>
          <t>WebClient (inline)</t>
        </is>
      </c>
      <c r="E13" s="13" t="inlineStr">
        <is>
          <t>GET</t>
        </is>
      </c>
      <c r="F13" s="23" t="inlineStr">
        <is>
          <t>http://PRODUCT-SERVICE/internal/policies/{id}</t>
        </is>
      </c>
      <c r="G13" s="23" t="inlineStr">
        <is>
          <t>Product</t>
        </is>
      </c>
      <c r="H13" s="23" t="inlineStr">
        <is>
          <t>PolicyHandler.getInternalPolicy -&gt; PolicyService.getInternalPolicy()</t>
        </is>
      </c>
      <c r="I13" s="23" t="inlineStr">
        <is>
          <t>Load policy + snapshot to validate claim</t>
        </is>
      </c>
      <c r="J13" s="23" t="inlineStr">
        <is>
          <t>404 -&gt; NotFound; other -&gt; DependentServiceException</t>
        </is>
      </c>
    </row>
    <row r="14" ht="25" customHeight="1" s="20">
      <c r="A14" s="23" t="inlineStr">
        <is>
          <t>ISC-10</t>
        </is>
      </c>
      <c r="B14" s="23" t="inlineStr">
        <is>
          <t>Claims</t>
        </is>
      </c>
      <c r="C14" s="23" t="inlineStr">
        <is>
          <t>ClaimHandler.approveClaim -&gt; ClaimService.requestPayout</t>
        </is>
      </c>
      <c r="D14" s="23" t="inlineStr">
        <is>
          <t>FinancialServiceClient.createPayoutForClaim()</t>
        </is>
      </c>
      <c r="E14" s="13" t="inlineStr">
        <is>
          <t>POST</t>
        </is>
      </c>
      <c r="F14" s="23" t="inlineStr">
        <is>
          <t>http://FINANCIAL-SERVICE/internal/financial/payouts</t>
        </is>
      </c>
      <c r="G14" s="23" t="inlineStr">
        <is>
          <t>Financial</t>
        </is>
      </c>
      <c r="H14" s="23" t="inlineStr">
        <is>
          <t>PayoutHandler.createInternal -&gt; PayoutService.create()</t>
        </is>
      </c>
      <c r="I14" s="23" t="inlineStr">
        <is>
          <t>Create the payout after approval; it is paid at once</t>
        </is>
      </c>
      <c r="J14" s="23" t="inlineStr">
        <is>
          <t>onErrorResume -&gt; silently ignored</t>
        </is>
      </c>
    </row>
    <row r="15" ht="25" customHeight="1" s="20">
      <c r="A15" s="23" t="inlineStr">
        <is>
          <t>ISC-11</t>
        </is>
      </c>
      <c r="B15" s="23" t="inlineStr">
        <is>
          <t>Claims</t>
        </is>
      </c>
      <c r="C15" s="23" t="inlineStr">
        <is>
          <t>NotificationService (claims)</t>
        </is>
      </c>
      <c r="D15" s="23" t="inlineStr">
        <is>
          <t>NotificationServiceClient.sendNotification()</t>
        </is>
      </c>
      <c r="E15" s="13" t="inlineStr">
        <is>
          <t>POST</t>
        </is>
      </c>
      <c r="F15" s="23" t="inlineStr">
        <is>
          <t>http://NOTIFICATION-SERVICE/internal/notifications</t>
        </is>
      </c>
      <c r="G15" s="23" t="inlineStr">
        <is>
          <t>Notification</t>
        </is>
      </c>
      <c r="H15" s="23" t="inlineStr">
        <is>
          <t>NotificationHandler.create -&gt; NotificationService.create()</t>
        </is>
      </c>
      <c r="I15" s="23" t="inlineStr">
        <is>
          <t>CLAIM_* in-app notifications</t>
        </is>
      </c>
      <c r="J15" s="23" t="inlineStr">
        <is>
          <t>onErrorResume</t>
        </is>
      </c>
    </row>
    <row r="16" ht="25" customHeight="1" s="20">
      <c r="A16" s="23" t="inlineStr">
        <is>
          <t>ISC-12</t>
        </is>
      </c>
      <c r="B16" s="23" t="inlineStr">
        <is>
          <t>Trigger</t>
        </is>
      </c>
      <c r="C16" s="23" t="inlineStr">
        <is>
          <t>MeasurementService.processNewMeasurement</t>
        </is>
      </c>
      <c r="D16" s="23" t="inlineStr">
        <is>
          <t>ProductTriggerClient.getProduct()</t>
        </is>
      </c>
      <c r="E16" s="13" t="inlineStr">
        <is>
          <t>GET</t>
        </is>
      </c>
      <c r="F16" s="23" t="inlineStr">
        <is>
          <t>http://PRODUCT-SERVICE/internal/products/{productId}</t>
        </is>
      </c>
      <c r="G16" s="23" t="inlineStr">
        <is>
          <t>Product</t>
        </is>
      </c>
      <c r="H16" s="23" t="inlineStr">
        <is>
          <t>ProductHandler.getInternalProduct -&gt; ProductService.getInternalProduct()</t>
        </is>
      </c>
      <c r="I16" s="23" t="inlineStr">
        <is>
          <t>Product trigger config for measurement</t>
        </is>
      </c>
      <c r="J16" s="23" t="inlineStr">
        <is>
          <t>404 -&gt; NotFound</t>
        </is>
      </c>
    </row>
    <row r="17" ht="25" customHeight="1" s="20">
      <c r="A17" s="23" t="inlineStr">
        <is>
          <t>ISC-13</t>
        </is>
      </c>
      <c r="B17" s="23" t="inlineStr">
        <is>
          <t>Trigger</t>
        </is>
      </c>
      <c r="C17" s="23" t="inlineStr">
        <is>
          <t>MeasurementService.processNewMeasurement</t>
        </is>
      </c>
      <c r="D17" s="23" t="inlineStr">
        <is>
          <t>ProductTriggerClient.getActivePolicies()</t>
        </is>
      </c>
      <c r="E17" s="13" t="inlineStr">
        <is>
          <t>GET</t>
        </is>
      </c>
      <c r="F17" s="23" t="inlineStr">
        <is>
          <t>http://PRODUCT-SERVICE/internal/policies/active-for-trigger?productId&amp;locationZoneId</t>
        </is>
      </c>
      <c r="G17" s="23" t="inlineStr">
        <is>
          <t>Product</t>
        </is>
      </c>
      <c r="H17" s="23" t="inlineStr">
        <is>
          <t>InternalPolicyHandler.getEligiblePolicies -&gt; ProductService.getEligiblePoliciesForEvent()</t>
        </is>
      </c>
      <c r="I17" s="23" t="inlineStr">
        <is>
          <t>ACTIVE policies + snapshots to compare</t>
        </is>
      </c>
      <c r="J17" s="23" t="inlineStr">
        <is>
          <t>-</t>
        </is>
      </c>
    </row>
    <row r="18" ht="25" customHeight="1" s="20">
      <c r="A18" s="23" t="inlineStr">
        <is>
          <t>ISC-14</t>
        </is>
      </c>
      <c r="B18" s="23" t="inlineStr">
        <is>
          <t>Trigger</t>
        </is>
      </c>
      <c r="C18" s="23" t="inlineStr">
        <is>
          <t>MeasurementService.buildProcessingResult</t>
        </is>
      </c>
      <c r="D18" s="23" t="inlineStr">
        <is>
          <t>ClaimsServiceClient.createClaimsFromTriggerEvent()</t>
        </is>
      </c>
      <c r="E18" s="13" t="inlineStr">
        <is>
          <t>POST</t>
        </is>
      </c>
      <c r="F18" s="23" t="inlineStr">
        <is>
          <t>http://CLAIMS-SERVICE/internal/claims/from-trigger-event</t>
        </is>
      </c>
      <c r="G18" s="23" t="inlineStr">
        <is>
          <t>Claims</t>
        </is>
      </c>
      <c r="H18" s="23" t="inlineStr">
        <is>
          <t>ClaimHandler.createClaimsFromTriggerEvent -&gt; ClaimService.createClaimsFromTriggerEvent()</t>
        </is>
      </c>
      <c r="I18" s="23" t="inlineStr">
        <is>
          <t>Bulk automatic claims for matched policies</t>
        </is>
      </c>
      <c r="J18" s="23" t="inlineStr">
        <is>
          <t>Propagates</t>
        </is>
      </c>
    </row>
    <row r="19" ht="25" customHeight="1" s="20">
      <c r="A19" s="23" t="inlineStr">
        <is>
          <t>ISC-15</t>
        </is>
      </c>
      <c r="B19" s="23" t="inlineStr">
        <is>
          <t>Trigger</t>
        </is>
      </c>
      <c r="C19" s="23" t="inlineStr">
        <is>
          <t>LocationZoneService.archive</t>
        </is>
      </c>
      <c r="D19" s="23" t="inlineStr">
        <is>
          <t>ProductTriggerClient.hasActivePoliciesForZone()</t>
        </is>
      </c>
      <c r="E19" s="13" t="inlineStr">
        <is>
          <t>GET</t>
        </is>
      </c>
      <c r="F19" s="23" t="inlineStr">
        <is>
          <t>http://PRODUCT-SERVICE/internal/policies/zone/{zoneId}/has-active</t>
        </is>
      </c>
      <c r="G19" s="23" t="inlineStr">
        <is>
          <t>Product</t>
        </is>
      </c>
      <c r="H19" s="23" t="inlineStr">
        <is>
          <t>InternalPolicyHandler.hasActivePoliciesForZone -&gt; ProductService.hasActivePoliciesForZone()</t>
        </is>
      </c>
      <c r="I19" s="23" t="inlineStr">
        <is>
          <t>Block archiving zones with policies</t>
        </is>
      </c>
      <c r="J19" s="23" t="inlineStr">
        <is>
          <t>Propagates</t>
        </is>
      </c>
    </row>
    <row r="20" ht="25" customHeight="1" s="20">
      <c r="A20" s="23" t="inlineStr">
        <is>
          <t>ISC-16</t>
        </is>
      </c>
      <c r="B20" s="23" t="inlineStr">
        <is>
          <t>Financial</t>
        </is>
      </c>
      <c r="C20" s="23" t="inlineStr">
        <is>
          <t>QuoteService.create / PricingRuleService.create,update</t>
        </is>
      </c>
      <c r="D20" s="23" t="inlineStr">
        <is>
          <t>ProductServiceClient.findProduct() / requireActiveProduct()</t>
        </is>
      </c>
      <c r="E20" s="13" t="inlineStr">
        <is>
          <t>GET</t>
        </is>
      </c>
      <c r="F20" s="23" t="inlineStr">
        <is>
          <t>http://PRODUCT-SERVICE/internal/products/{productId}</t>
        </is>
      </c>
      <c r="G20" s="23" t="inlineStr">
        <is>
          <t>Product</t>
        </is>
      </c>
      <c r="H20" s="23" t="inlineStr">
        <is>
          <t>ProductHandler.getInternalProduct</t>
        </is>
      </c>
      <c r="I20" s="23" t="inlineStr">
        <is>
          <t>Product limits &amp; status</t>
        </is>
      </c>
      <c r="J20" s="23" t="inlineStr">
        <is>
          <t>404 -&gt; NotFound</t>
        </is>
      </c>
    </row>
    <row r="21" ht="25" customHeight="1" s="20">
      <c r="A21" s="23" t="inlineStr">
        <is>
          <t>ISC-17</t>
        </is>
      </c>
      <c r="B21" s="23" t="inlineStr">
        <is>
          <t>Financial</t>
        </is>
      </c>
      <c r="C21" s="23" t="inlineStr">
        <is>
          <t>DefaultPricingRuleProvisioner.provisionMissingRules</t>
        </is>
      </c>
      <c r="D21" s="23" t="inlineStr">
        <is>
          <t>ProductServiceClient.findAllProducts()</t>
        </is>
      </c>
      <c r="E21" s="13" t="inlineStr">
        <is>
          <t>GET</t>
        </is>
      </c>
      <c r="F21" s="23" t="inlineStr">
        <is>
          <t>http://PRODUCT-SERVICE/internal/products</t>
        </is>
      </c>
      <c r="G21" s="23" t="inlineStr">
        <is>
          <t>Product</t>
        </is>
      </c>
      <c r="H21" s="23" t="inlineStr">
        <is>
          <t>ProductHandler.getInternalProducts</t>
        </is>
      </c>
      <c r="I21" s="23" t="inlineStr">
        <is>
          <t>Products lacking pricing rule</t>
        </is>
      </c>
      <c r="J21" s="23" t="inlineStr">
        <is>
          <t>-</t>
        </is>
      </c>
    </row>
    <row r="22" ht="25" customHeight="1" s="20">
      <c r="A22" s="23" t="inlineStr">
        <is>
          <t>ISC-18</t>
        </is>
      </c>
      <c r="B22" s="23" t="inlineStr">
        <is>
          <t>Financial</t>
        </is>
      </c>
      <c r="C22" s="23" t="inlineStr">
        <is>
          <t>PaymentService.create / PayoutReceiptService</t>
        </is>
      </c>
      <c r="D22" s="23" t="inlineStr">
        <is>
          <t>ProductServiceClient.findPolicy()</t>
        </is>
      </c>
      <c r="E22" s="13" t="inlineStr">
        <is>
          <t>GET</t>
        </is>
      </c>
      <c r="F22" s="23" t="inlineStr">
        <is>
          <t>http://PRODUCT-SERVICE/internal/policies/{policyId}</t>
        </is>
      </c>
      <c r="G22" s="23" t="inlineStr">
        <is>
          <t>Product</t>
        </is>
      </c>
      <c r="H22" s="23" t="inlineStr">
        <is>
          <t>PolicyHandler.getInternalPolicy</t>
        </is>
      </c>
      <c r="I22" s="23" t="inlineStr">
        <is>
          <t>Ownership + premium; receipt details</t>
        </is>
      </c>
      <c r="J22" s="23" t="inlineStr">
        <is>
          <t>404 -&gt; NotFound</t>
        </is>
      </c>
    </row>
    <row r="23" ht="25" customHeight="1" s="20">
      <c r="A23" s="23" t="inlineStr">
        <is>
          <t>ISC-19</t>
        </is>
      </c>
      <c r="B23" s="23" t="inlineStr">
        <is>
          <t>Financial</t>
        </is>
      </c>
      <c r="C23" s="23" t="inlineStr">
        <is>
          <t>QuoteService.create / PricingRuleService</t>
        </is>
      </c>
      <c r="D23" s="23" t="inlineStr">
        <is>
          <t>TriggerServiceClient.requireActiveZone() (findZone)</t>
        </is>
      </c>
      <c r="E23" s="13" t="inlineStr">
        <is>
          <t>GET</t>
        </is>
      </c>
      <c r="F23" s="23" t="inlineStr">
        <is>
          <t>http://TRIGGER-SERVICE/internal/triggers/zones/{zoneId}</t>
        </is>
      </c>
      <c r="G23" s="23" t="inlineStr">
        <is>
          <t>Trigger</t>
        </is>
      </c>
      <c r="H23" s="23" t="inlineStr">
        <is>
          <t>LocationZoneHandler.getInternalById</t>
        </is>
      </c>
      <c r="I23" s="23" t="inlineStr">
        <is>
          <t>Zone must be ACTIVE</t>
        </is>
      </c>
      <c r="J23" s="23" t="inlineStr">
        <is>
          <t>Error -&gt; validation failure</t>
        </is>
      </c>
    </row>
    <row r="24" ht="25" customHeight="1" s="20">
      <c r="A24" s="23" t="inlineStr">
        <is>
          <t>ISC-20</t>
        </is>
      </c>
      <c r="B24" s="23" t="inlineStr">
        <is>
          <t>Financial</t>
        </is>
      </c>
      <c r="C24" s="23" t="inlineStr">
        <is>
          <t>PayoutService.disburse</t>
        </is>
      </c>
      <c r="D24" s="23" t="inlineStr">
        <is>
          <t>TriggerServiceClient.markEventProcessed()</t>
        </is>
      </c>
      <c r="E24" s="13" t="inlineStr">
        <is>
          <t>PUT</t>
        </is>
      </c>
      <c r="F24" s="23" t="inlineStr">
        <is>
          <t>http://TRIGGER-SERVICE/internal/triggers/events/{eventId}/processed</t>
        </is>
      </c>
      <c r="G24" s="23" t="inlineStr">
        <is>
          <t>Trigger</t>
        </is>
      </c>
      <c r="H24" s="23" t="inlineStr">
        <is>
          <t>TriggerEventHandler.markProcessed -&gt; TriggerEventService.markEventProcessed()</t>
        </is>
      </c>
      <c r="I24" s="23" t="inlineStr">
        <is>
          <t>Close trigger event after payout</t>
        </is>
      </c>
      <c r="J24" s="23" t="inlineStr">
        <is>
          <t>Propagates</t>
        </is>
      </c>
    </row>
    <row r="25" ht="25" customHeight="1" s="20">
      <c r="A25" s="23" t="inlineStr">
        <is>
          <t>ISC-21</t>
        </is>
      </c>
      <c r="B25" s="23" t="inlineStr">
        <is>
          <t>Financial</t>
        </is>
      </c>
      <c r="C25" s="23" t="inlineStr">
        <is>
          <t>PayoutService.create</t>
        </is>
      </c>
      <c r="D25" s="23" t="inlineStr">
        <is>
          <t>ClaimsServiceClient.findClaim()</t>
        </is>
      </c>
      <c r="E25" s="13" t="inlineStr">
        <is>
          <t>GET</t>
        </is>
      </c>
      <c r="F25" s="23" t="inlineStr">
        <is>
          <t>http://CLAIMS-SERVICE/internal/claims/{claimId}</t>
        </is>
      </c>
      <c r="G25" s="23" t="inlineStr">
        <is>
          <t>Claims</t>
        </is>
      </c>
      <c r="H25" s="23" t="inlineStr">
        <is>
          <t>ClaimHandler.getInternalClaim -&gt; ClaimService.getInternalClaim()</t>
        </is>
      </c>
      <c r="I25" s="23" t="inlineStr">
        <is>
          <t>Approved amount &amp; claim details</t>
        </is>
      </c>
      <c r="J25" s="23" t="inlineStr">
        <is>
          <t>404 -&gt; NotFound</t>
        </is>
      </c>
    </row>
    <row r="26" ht="25" customHeight="1" s="20">
      <c r="A26" s="23" t="inlineStr">
        <is>
          <t>ISC-22</t>
        </is>
      </c>
      <c r="B26" s="23" t="inlineStr">
        <is>
          <t>Financial</t>
        </is>
      </c>
      <c r="C26" s="23" t="inlineStr">
        <is>
          <t>NotificationService (financial) + schedulers</t>
        </is>
      </c>
      <c r="D26" s="23" t="inlineStr">
        <is>
          <t>NotificationServiceClient.sendNotification()</t>
        </is>
      </c>
      <c r="E26" s="13" t="inlineStr">
        <is>
          <t>POST</t>
        </is>
      </c>
      <c r="F26" s="23" t="inlineStr">
        <is>
          <t>http://NOTIFICATION-SERVICE/internal/notifications</t>
        </is>
      </c>
      <c r="G26" s="23" t="inlineStr">
        <is>
          <t>Notification</t>
        </is>
      </c>
      <c r="H26" s="23" t="inlineStr">
        <is>
          <t>NotificationHandler.create -&gt; NotificationService.create()</t>
        </is>
      </c>
      <c r="I26" s="23" t="inlineStr">
        <is>
          <t>PAYMENT_*, PAYOUT_*, QUOTE_*, PREMIUM_*, RECONCILIATION_*, PRICING_RULE_*</t>
        </is>
      </c>
      <c r="J26" s="23" t="inlineStr">
        <is>
          <t>onErrorResume</t>
        </is>
      </c>
    </row>
    <row r="27" ht="25" customHeight="1" s="20">
      <c r="A27" s="23" t="inlineStr">
        <is>
          <t>ISC-23</t>
        </is>
      </c>
      <c r="B27" s="23" t="inlineStr">
        <is>
          <t>Financial</t>
        </is>
      </c>
      <c r="C27" s="23" t="inlineStr">
        <is>
          <t>PayoutService.disburse</t>
        </is>
      </c>
      <c r="D27" s="23" t="inlineStr">
        <is>
          <t>ClaimsServiceClient.settleClaim()</t>
        </is>
      </c>
      <c r="E27" s="13" t="inlineStr">
        <is>
          <t>PUT</t>
        </is>
      </c>
      <c r="F27" s="23" t="inlineStr">
        <is>
          <t>http://CLAIMS-SERVICE/internal/claims/{claimId}/settle</t>
        </is>
      </c>
      <c r="G27" s="23" t="inlineStr">
        <is>
          <t>Claims</t>
        </is>
      </c>
      <c r="H27" s="23" t="inlineStr">
        <is>
          <t>ClaimHandler.settleInternal -&gt; ClaimService.settleFromPayout()</t>
        </is>
      </c>
      <c r="I27" s="23" t="inlineStr">
        <is>
          <t>Settle the claim once its payout is paid</t>
        </is>
      </c>
      <c r="J27" s="23" t="inlineStr">
        <is>
          <t>Logged; never undoes the payout</t>
        </is>
      </c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</row>
    <row r="29" ht="2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</row>
    <row r="30" ht="2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</row>
    <row r="33" ht="2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</row>
    <row r="34" ht="2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</row>
    <row r="35" ht="2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</row>
    <row r="36" ht="37.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</row>
    <row r="39">
      <c r="A39" s="3" t="inlineStr">
        <is>
          <t>Dependency matrix (count of call paths: row = caller, column = target)</t>
        </is>
      </c>
    </row>
    <row r="40" ht="26" customHeight="1" s="20">
      <c r="A40" s="17" t="n"/>
      <c r="B40" s="8" t="inlineStr">
        <is>
          <t>Caller \ Target</t>
        </is>
      </c>
      <c r="C40" s="8" t="inlineStr">
        <is>
          <t>Auth</t>
        </is>
      </c>
      <c r="D40" s="8" t="inlineStr">
        <is>
          <t>Product</t>
        </is>
      </c>
      <c r="E40" s="8" t="inlineStr">
        <is>
          <t>Claims</t>
        </is>
      </c>
      <c r="F40" s="8" t="inlineStr">
        <is>
          <t>Trigger</t>
        </is>
      </c>
      <c r="G40" s="8" t="inlineStr">
        <is>
          <t>Financial</t>
        </is>
      </c>
      <c r="H40" s="8" t="inlineStr">
        <is>
          <t>Notification</t>
        </is>
      </c>
    </row>
    <row r="41">
      <c r="B41" s="5" t="inlineStr">
        <is>
          <t>Auth</t>
        </is>
      </c>
      <c r="C41" s="18">
        <f>COUNTIFS($B$5:$B$36,$B41,$G$5:$G$36,C$40)</f>
        <v/>
      </c>
      <c r="D41" s="18">
        <f>COUNTIFS($B$5:$B$36,$B41,$G$5:$G$36,D$40)</f>
        <v/>
      </c>
      <c r="E41" s="18">
        <f>COUNTIFS($B$5:$B$36,$B41,$G$5:$G$36,E$40)</f>
        <v/>
      </c>
      <c r="F41" s="18">
        <f>COUNTIFS($B$5:$B$36,$B41,$G$5:$G$36,F$40)</f>
        <v/>
      </c>
      <c r="G41" s="18">
        <f>COUNTIFS($B$5:$B$36,$B41,$G$5:$G$36,G$40)</f>
        <v/>
      </c>
      <c r="H41" s="18">
        <f>COUNTIFS($B$5:$B$36,$B41,$G$5:$G$36,H$40)</f>
        <v/>
      </c>
    </row>
    <row r="42">
      <c r="B42" s="5" t="inlineStr">
        <is>
          <t>Product</t>
        </is>
      </c>
      <c r="C42" s="18">
        <f>COUNTIFS($B$5:$B$36,$B42,$G$5:$G$36,C$40)</f>
        <v/>
      </c>
      <c r="D42" s="18">
        <f>COUNTIFS($B$5:$B$36,$B42,$G$5:$G$36,D$40)</f>
        <v/>
      </c>
      <c r="E42" s="18">
        <f>COUNTIFS($B$5:$B$36,$B42,$G$5:$G$36,E$40)</f>
        <v/>
      </c>
      <c r="F42" s="18">
        <f>COUNTIFS($B$5:$B$36,$B42,$G$5:$G$36,F$40)</f>
        <v/>
      </c>
      <c r="G42" s="18">
        <f>COUNTIFS($B$5:$B$36,$B42,$G$5:$G$36,G$40)</f>
        <v/>
      </c>
      <c r="H42" s="18">
        <f>COUNTIFS($B$5:$B$36,$B42,$G$5:$G$36,H$40)</f>
        <v/>
      </c>
    </row>
    <row r="43">
      <c r="B43" s="5" t="inlineStr">
        <is>
          <t>Claims</t>
        </is>
      </c>
      <c r="C43" s="18">
        <f>COUNTIFS($B$5:$B$36,$B43,$G$5:$G$36,C$40)</f>
        <v/>
      </c>
      <c r="D43" s="18">
        <f>COUNTIFS($B$5:$B$36,$B43,$G$5:$G$36,D$40)</f>
        <v/>
      </c>
      <c r="E43" s="18">
        <f>COUNTIFS($B$5:$B$36,$B43,$G$5:$G$36,E$40)</f>
        <v/>
      </c>
      <c r="F43" s="18">
        <f>COUNTIFS($B$5:$B$36,$B43,$G$5:$G$36,F$40)</f>
        <v/>
      </c>
      <c r="G43" s="18">
        <f>COUNTIFS($B$5:$B$36,$B43,$G$5:$G$36,G$40)</f>
        <v/>
      </c>
      <c r="H43" s="18">
        <f>COUNTIFS($B$5:$B$36,$B43,$G$5:$G$36,H$40)</f>
        <v/>
      </c>
    </row>
    <row r="44">
      <c r="B44" s="5" t="inlineStr">
        <is>
          <t>Trigger</t>
        </is>
      </c>
      <c r="C44" s="18">
        <f>COUNTIFS($B$5:$B$36,$B44,$G$5:$G$36,C$40)</f>
        <v/>
      </c>
      <c r="D44" s="18">
        <f>COUNTIFS($B$5:$B$36,$B44,$G$5:$G$36,D$40)</f>
        <v/>
      </c>
      <c r="E44" s="18">
        <f>COUNTIFS($B$5:$B$36,$B44,$G$5:$G$36,E$40)</f>
        <v/>
      </c>
      <c r="F44" s="18">
        <f>COUNTIFS($B$5:$B$36,$B44,$G$5:$G$36,F$40)</f>
        <v/>
      </c>
      <c r="G44" s="18">
        <f>COUNTIFS($B$5:$B$36,$B44,$G$5:$G$36,G$40)</f>
        <v/>
      </c>
      <c r="H44" s="18">
        <f>COUNTIFS($B$5:$B$36,$B44,$G$5:$G$36,H$40)</f>
        <v/>
      </c>
    </row>
    <row r="45">
      <c r="B45" s="5" t="inlineStr">
        <is>
          <t>Financial</t>
        </is>
      </c>
      <c r="C45" s="18">
        <f>COUNTIFS($B$5:$B$36,$B45,$G$5:$G$36,C$40)</f>
        <v/>
      </c>
      <c r="D45" s="18">
        <f>COUNTIFS($B$5:$B$36,$B45,$G$5:$G$36,D$40)</f>
        <v/>
      </c>
      <c r="E45" s="18">
        <f>COUNTIFS($B$5:$B$36,$B45,$G$5:$G$36,E$40)</f>
        <v/>
      </c>
      <c r="F45" s="18">
        <f>COUNTIFS($B$5:$B$36,$B45,$G$5:$G$36,F$40)</f>
        <v/>
      </c>
      <c r="G45" s="18">
        <f>COUNTIFS($B$5:$B$36,$B45,$G$5:$G$36,G$40)</f>
        <v/>
      </c>
      <c r="H45" s="18">
        <f>COUNTIFS($B$5:$B$36,$B45,$G$5:$G$36,H$40)</f>
        <v/>
      </c>
    </row>
    <row r="46">
      <c r="B46" s="5" t="inlineStr">
        <is>
          <t>Notification</t>
        </is>
      </c>
      <c r="C46" s="18">
        <f>COUNTIFS($B$5:$B$36,$B46,$G$5:$G$36,C$40)</f>
        <v/>
      </c>
      <c r="D46" s="18">
        <f>COUNTIFS($B$5:$B$36,$B46,$G$5:$G$36,D$40)</f>
        <v/>
      </c>
      <c r="E46" s="18">
        <f>COUNTIFS($B$5:$B$36,$B46,$G$5:$G$36,E$40)</f>
        <v/>
      </c>
      <c r="F46" s="18">
        <f>COUNTIFS($B$5:$B$36,$B46,$G$5:$G$36,F$40)</f>
        <v/>
      </c>
      <c r="G46" s="18">
        <f>COUNTIFS($B$5:$B$36,$B46,$G$5:$G$36,G$40)</f>
        <v/>
      </c>
      <c r="H46" s="18">
        <f>COUNTIFS($B$5:$B$36,$B46,$G$5:$G$36,H$40)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E80"/>
  <sheetViews>
    <sheetView showGridLines="0" topLeftCell="A6" workbookViewId="0">
      <selection activeCell="A1" sqref="A1"/>
    </sheetView>
  </sheetViews>
  <sheetFormatPr baseColWidth="8" defaultRowHeight="14.5"/>
  <cols>
    <col width="24" customWidth="1" style="20" min="1" max="1"/>
    <col width="8" customWidth="1" style="20" min="2" max="2"/>
    <col width="30" customWidth="1" style="20" min="3" max="4"/>
    <col width="120" customWidth="1" style="20" min="5" max="5"/>
  </cols>
  <sheetData>
    <row r="1" ht="20" customHeight="1" s="20">
      <c r="A1" s="1" t="inlineStr">
        <is>
          <t>Data Model - Tables &amp; Enumerations per Service</t>
        </is>
      </c>
    </row>
    <row r="4">
      <c r="A4" s="8" t="inlineStr">
        <is>
          <t>Service</t>
        </is>
      </c>
      <c r="B4" s="8" t="inlineStr">
        <is>
          <t>Kind</t>
        </is>
      </c>
      <c r="C4" s="8" t="inlineStr">
        <is>
          <t>Table name</t>
        </is>
      </c>
      <c r="D4" s="8" t="inlineStr">
        <is>
          <t>Model class</t>
        </is>
      </c>
      <c r="E4" s="8" t="inlineStr">
        <is>
          <t>Values</t>
        </is>
      </c>
    </row>
    <row r="5">
      <c r="A5" s="23" t="inlineStr">
        <is>
          <t>Auth Service</t>
        </is>
      </c>
      <c r="B5" s="23" t="inlineStr">
        <is>
          <t>Table</t>
        </is>
      </c>
      <c r="C5" s="23" t="inlineStr">
        <is>
          <t>addresses</t>
        </is>
      </c>
      <c r="D5" s="23" t="inlineStr">
        <is>
          <t>Address</t>
        </is>
      </c>
      <c r="E5" s="23" t="inlineStr">
        <is>
          <t>-</t>
        </is>
      </c>
    </row>
    <row r="6">
      <c r="A6" s="23" t="inlineStr">
        <is>
          <t>Auth Service</t>
        </is>
      </c>
      <c r="B6" s="23" t="inlineStr">
        <is>
          <t>Enum</t>
        </is>
      </c>
      <c r="C6" s="23" t="inlineStr">
        <is>
          <t>-</t>
        </is>
      </c>
      <c r="D6" s="23" t="inlineStr">
        <is>
          <t>CustomerSegment</t>
        </is>
      </c>
      <c r="E6" s="23" t="inlineStr">
        <is>
          <t>INDIVIDUAL, FARMER, SMALL_BUSINESS, ENTERPRISE</t>
        </is>
      </c>
    </row>
    <row r="7">
      <c r="A7" s="23" t="inlineStr">
        <is>
          <t>Auth Service</t>
        </is>
      </c>
      <c r="B7" s="23" t="inlineStr">
        <is>
          <t>Table</t>
        </is>
      </c>
      <c r="C7" s="23" t="inlineStr">
        <is>
          <t>refresh_tokens</t>
        </is>
      </c>
      <c r="D7" s="23" t="inlineStr">
        <is>
          <t>RefreshToken</t>
        </is>
      </c>
      <c r="E7" s="23" t="inlineStr">
        <is>
          <t>-</t>
        </is>
      </c>
    </row>
    <row r="8">
      <c r="A8" s="23" t="inlineStr">
        <is>
          <t>Auth Service</t>
        </is>
      </c>
      <c r="B8" s="23" t="inlineStr">
        <is>
          <t>Table</t>
        </is>
      </c>
      <c r="C8" s="23" t="inlineStr">
        <is>
          <t>sessions</t>
        </is>
      </c>
      <c r="D8" s="23" t="inlineStr">
        <is>
          <t>Session</t>
        </is>
      </c>
      <c r="E8" s="23" t="inlineStr">
        <is>
          <t>-</t>
        </is>
      </c>
    </row>
    <row r="9">
      <c r="A9" s="23" t="inlineStr">
        <is>
          <t>Auth Service</t>
        </is>
      </c>
      <c r="B9" s="23" t="inlineStr">
        <is>
          <t>Table</t>
        </is>
      </c>
      <c r="C9" s="23" t="inlineStr">
        <is>
          <t>user_profiles</t>
        </is>
      </c>
      <c r="D9" s="23" t="inlineStr">
        <is>
          <t>UserProfile</t>
        </is>
      </c>
      <c r="E9" s="23" t="inlineStr">
        <is>
          <t>-</t>
        </is>
      </c>
    </row>
    <row r="10">
      <c r="A10" s="23" t="inlineStr">
        <is>
          <t>Auth Service</t>
        </is>
      </c>
      <c r="B10" s="23" t="inlineStr">
        <is>
          <t>Table</t>
        </is>
      </c>
      <c r="C10" s="23" t="inlineStr">
        <is>
          <t>users_credentials</t>
        </is>
      </c>
      <c r="D10" s="23" t="inlineStr">
        <is>
          <t>UserCredential</t>
        </is>
      </c>
      <c r="E10" s="23" t="inlineStr">
        <is>
          <t>-</t>
        </is>
      </c>
    </row>
    <row r="11">
      <c r="A11" s="23" t="inlineStr">
        <is>
          <t>Auth Service</t>
        </is>
      </c>
      <c r="B11" s="23" t="inlineStr">
        <is>
          <t>Enum</t>
        </is>
      </c>
      <c r="C11" s="23" t="inlineStr">
        <is>
          <t>-</t>
        </is>
      </c>
      <c r="D11" s="23" t="inlineStr">
        <is>
          <t>UserStatus</t>
        </is>
      </c>
      <c r="E11" s="23" t="inlineStr">
        <is>
          <t>ACTIVE, SUSPENDED, INACTIVE</t>
        </is>
      </c>
    </row>
    <row r="12">
      <c r="A12" s="23" t="inlineStr">
        <is>
          <t>Product &amp; Policy Service</t>
        </is>
      </c>
      <c r="B12" s="23" t="inlineStr">
        <is>
          <t>Enum</t>
        </is>
      </c>
      <c r="C12" s="23" t="inlineStr">
        <is>
          <t>-</t>
        </is>
      </c>
      <c r="D12" s="23" t="inlineStr">
        <is>
          <t>AggregationType</t>
        </is>
      </c>
      <c r="E12" s="23" t="inlineStr">
        <is>
          <t>SUM, AVERAGE, MIN, MAX, LATEST</t>
        </is>
      </c>
    </row>
    <row r="13">
      <c r="A13" s="23" t="inlineStr">
        <is>
          <t>Product &amp; Policy Service</t>
        </is>
      </c>
      <c r="B13" s="23" t="inlineStr">
        <is>
          <t>Enum</t>
        </is>
      </c>
      <c r="C13" s="23" t="inlineStr">
        <is>
          <t>-</t>
        </is>
      </c>
      <c r="D13" s="23" t="inlineStr">
        <is>
          <t>ComparisonOperator</t>
        </is>
      </c>
      <c r="E13" s="23" t="inlineStr">
        <is>
          <t>GREATER_THAN, GREATER_THAN_OR_EQUAL, LESS_THAN, LESS_THAN_OR_EQUAL, EQUAL</t>
        </is>
      </c>
    </row>
    <row r="14">
      <c r="A14" s="23" t="inlineStr">
        <is>
          <t>Product &amp; Policy Service</t>
        </is>
      </c>
      <c r="B14" s="23" t="inlineStr">
        <is>
          <t>Table</t>
        </is>
      </c>
      <c r="C14" s="23" t="inlineStr">
        <is>
          <t>coverages</t>
        </is>
      </c>
      <c r="D14" s="23" t="inlineStr">
        <is>
          <t>Coverage</t>
        </is>
      </c>
      <c r="E14" s="23" t="inlineStr">
        <is>
          <t>-</t>
        </is>
      </c>
    </row>
    <row r="15">
      <c r="A15" s="23" t="inlineStr">
        <is>
          <t>Product &amp; Policy Service</t>
        </is>
      </c>
      <c r="B15" s="23" t="inlineStr">
        <is>
          <t>Enum</t>
        </is>
      </c>
      <c r="C15" s="23" t="inlineStr">
        <is>
          <t>-</t>
        </is>
      </c>
      <c r="D15" s="23" t="inlineStr">
        <is>
          <t>MeasurementType</t>
        </is>
      </c>
      <c r="E15" s="23" t="inlineStr">
        <is>
          <t>RAINFALL, WATER_LEVEL, TEMPERATURE, WIND_SPEED, HUMIDITY, SOIL_MOISTURE, OTHER</t>
        </is>
      </c>
    </row>
    <row r="16">
      <c r="A16" s="23" t="inlineStr">
        <is>
          <t>Product &amp; Policy Service</t>
        </is>
      </c>
      <c r="B16" s="23" t="inlineStr">
        <is>
          <t>Enum</t>
        </is>
      </c>
      <c r="C16" s="23" t="inlineStr">
        <is>
          <t>-</t>
        </is>
      </c>
      <c r="D16" s="23" t="inlineStr">
        <is>
          <t>MeasurementUnit</t>
        </is>
      </c>
      <c r="E16" s="23" t="inlineStr">
        <is>
          <t>MM, CM, METER, CELSIUS, KELVIN, KM_PER_HOUR, METERS_PER_SECOND, PERCENTAGE, OTHER</t>
        </is>
      </c>
    </row>
    <row r="17">
      <c r="A17" s="23" t="inlineStr">
        <is>
          <t>Product &amp; Policy Service</t>
        </is>
      </c>
      <c r="B17" s="23" t="inlineStr">
        <is>
          <t>Enum</t>
        </is>
      </c>
      <c r="C17" s="23" t="inlineStr">
        <is>
          <t>-</t>
        </is>
      </c>
      <c r="D17" s="23" t="inlineStr">
        <is>
          <t>PerilType</t>
        </is>
      </c>
      <c r="E17" s="23" t="inlineStr">
        <is>
          <t>EXCESS_RAINFALL, FLOOD, DROUGHT, EXTREME_TEMPERATURE, CYCLONE, HIGH_WIND, OTHER</t>
        </is>
      </c>
    </row>
    <row r="18">
      <c r="A18" s="23" t="inlineStr">
        <is>
          <t>Product &amp; Policy Service</t>
        </is>
      </c>
      <c r="B18" s="23" t="inlineStr">
        <is>
          <t>Table</t>
        </is>
      </c>
      <c r="C18" s="23" t="inlineStr">
        <is>
          <t>policies</t>
        </is>
      </c>
      <c r="D18" s="23" t="inlineStr">
        <is>
          <t>Policy</t>
        </is>
      </c>
      <c r="E18" s="23" t="inlineStr">
        <is>
          <t>-</t>
        </is>
      </c>
    </row>
    <row r="19">
      <c r="A19" s="23" t="inlineStr">
        <is>
          <t>Product &amp; Policy Service</t>
        </is>
      </c>
      <c r="B19" s="23" t="inlineStr">
        <is>
          <t>Table</t>
        </is>
      </c>
      <c r="C19" s="23" t="inlineStr">
        <is>
          <t>policy_status_history</t>
        </is>
      </c>
      <c r="D19" s="23" t="inlineStr">
        <is>
          <t>PolicyStatusHistory</t>
        </is>
      </c>
      <c r="E19" s="23" t="inlineStr">
        <is>
          <t>-</t>
        </is>
      </c>
    </row>
    <row r="20">
      <c r="A20" s="23" t="inlineStr">
        <is>
          <t>Product &amp; Policy Service</t>
        </is>
      </c>
      <c r="B20" s="23" t="inlineStr">
        <is>
          <t>Table</t>
        </is>
      </c>
      <c r="C20" s="23" t="inlineStr">
        <is>
          <t>policy_trigger_snapshots</t>
        </is>
      </c>
      <c r="D20" s="23" t="inlineStr">
        <is>
          <t>PolicyTriggerSnapshot</t>
        </is>
      </c>
      <c r="E20" s="23" t="inlineStr">
        <is>
          <t>-</t>
        </is>
      </c>
    </row>
    <row r="21">
      <c r="A21" s="23" t="inlineStr">
        <is>
          <t>Product &amp; Policy Service</t>
        </is>
      </c>
      <c r="B21" s="23" t="inlineStr">
        <is>
          <t>Enum</t>
        </is>
      </c>
      <c r="C21" s="23" t="inlineStr">
        <is>
          <t>-</t>
        </is>
      </c>
      <c r="D21" s="23" t="inlineStr">
        <is>
          <t>PolicyStatus</t>
        </is>
      </c>
      <c r="E21" s="23" t="inlineStr">
        <is>
          <t>PENDING, ACTIVE, REJECTED, CANCELLED, EXPIRED</t>
        </is>
      </c>
    </row>
    <row r="22">
      <c r="A22" s="23" t="inlineStr">
        <is>
          <t>Product &amp; Policy Service</t>
        </is>
      </c>
      <c r="B22" s="23" t="inlineStr">
        <is>
          <t>Table</t>
        </is>
      </c>
      <c r="C22" s="23" t="inlineStr">
        <is>
          <t>product_threshold_history</t>
        </is>
      </c>
      <c r="D22" s="23" t="inlineStr">
        <is>
          <t>ProductThresholdHistory</t>
        </is>
      </c>
      <c r="E22" s="23" t="inlineStr">
        <is>
          <t>-</t>
        </is>
      </c>
    </row>
    <row r="23">
      <c r="A23" s="23" t="inlineStr">
        <is>
          <t>Product &amp; Policy Service</t>
        </is>
      </c>
      <c r="B23" s="23" t="inlineStr">
        <is>
          <t>Enum</t>
        </is>
      </c>
      <c r="C23" s="23" t="inlineStr">
        <is>
          <t>-</t>
        </is>
      </c>
      <c r="D23" s="23" t="inlineStr">
        <is>
          <t>ProductCategory</t>
        </is>
      </c>
      <c r="E23" s="23" t="inlineStr">
        <is>
          <t>WEATHER, FLOOD, AGRICULTURE, BUSINESS_INTERRUPTION, TRAVEL, CYCLONE, OTHER</t>
        </is>
      </c>
    </row>
    <row r="24">
      <c r="A24" s="23" t="inlineStr">
        <is>
          <t>Product &amp; Policy Service</t>
        </is>
      </c>
      <c r="B24" s="23" t="inlineStr">
        <is>
          <t>Table</t>
        </is>
      </c>
      <c r="C24" s="23" t="inlineStr">
        <is>
          <t>products</t>
        </is>
      </c>
      <c r="D24" s="23" t="inlineStr">
        <is>
          <t>Product</t>
        </is>
      </c>
      <c r="E24" s="23" t="inlineStr">
        <is>
          <t>-</t>
        </is>
      </c>
    </row>
    <row r="25">
      <c r="A25" s="23" t="inlineStr">
        <is>
          <t>Product &amp; Policy Service</t>
        </is>
      </c>
      <c r="B25" s="23" t="inlineStr">
        <is>
          <t>Enum</t>
        </is>
      </c>
      <c r="C25" s="23" t="inlineStr">
        <is>
          <t>-</t>
        </is>
      </c>
      <c r="D25" s="23" t="inlineStr">
        <is>
          <t>ProductStatus</t>
        </is>
      </c>
      <c r="E25" s="23" t="inlineStr">
        <is>
          <t>DRAFT, ACTIVE, INACTIVE, ARCHIVED</t>
        </is>
      </c>
    </row>
    <row r="26">
      <c r="A26" s="23" t="inlineStr">
        <is>
          <t>Product &amp; Policy Service</t>
        </is>
      </c>
      <c r="B26" s="23" t="inlineStr">
        <is>
          <t>Enum</t>
        </is>
      </c>
      <c r="C26" s="23" t="inlineStr">
        <is>
          <t>-</t>
        </is>
      </c>
      <c r="D26" s="23" t="inlineStr">
        <is>
          <t>TriggerSyncStatus</t>
        </is>
      </c>
      <c r="E26" s="23" t="inlineStr">
        <is>
          <t>PENDING, SYNCED, FAILED</t>
        </is>
      </c>
    </row>
    <row r="27">
      <c r="A27" s="23" t="inlineStr">
        <is>
          <t>Claims Service</t>
        </is>
      </c>
      <c r="B27" s="23" t="inlineStr">
        <is>
          <t>Table</t>
        </is>
      </c>
      <c r="C27" s="23" t="inlineStr">
        <is>
          <t>claim_documents</t>
        </is>
      </c>
      <c r="D27" s="23" t="inlineStr">
        <is>
          <t>ClaimDocument</t>
        </is>
      </c>
      <c r="E27" s="23" t="inlineStr">
        <is>
          <t>-</t>
        </is>
      </c>
    </row>
    <row r="28">
      <c r="A28" s="23" t="inlineStr">
        <is>
          <t>Claims Service</t>
        </is>
      </c>
      <c r="B28" s="23" t="inlineStr">
        <is>
          <t>Table</t>
        </is>
      </c>
      <c r="C28" s="23" t="inlineStr">
        <is>
          <t>claim_timeline</t>
        </is>
      </c>
      <c r="D28" s="23" t="inlineStr">
        <is>
          <t>ClaimTimeline</t>
        </is>
      </c>
      <c r="E28" s="23" t="inlineStr">
        <is>
          <t>-</t>
        </is>
      </c>
    </row>
    <row r="29">
      <c r="A29" s="23" t="inlineStr">
        <is>
          <t>Claims Service</t>
        </is>
      </c>
      <c r="B29" s="23" t="inlineStr">
        <is>
          <t>Table</t>
        </is>
      </c>
      <c r="C29" s="23" t="inlineStr">
        <is>
          <t>claims</t>
        </is>
      </c>
      <c r="D29" s="23" t="inlineStr">
        <is>
          <t>Claim</t>
        </is>
      </c>
      <c r="E29" s="23" t="inlineStr">
        <is>
          <t>-</t>
        </is>
      </c>
    </row>
    <row r="30">
      <c r="A30" s="23" t="inlineStr">
        <is>
          <t>Claims Service</t>
        </is>
      </c>
      <c r="B30" s="23" t="inlineStr">
        <is>
          <t>Enum</t>
        </is>
      </c>
      <c r="C30" s="23" t="inlineStr">
        <is>
          <t>-</t>
        </is>
      </c>
      <c r="D30" s="23" t="inlineStr">
        <is>
          <t>ClaimSource</t>
        </is>
      </c>
      <c r="E30" s="23" t="inlineStr">
        <is>
          <t>AUTO_TRIGGERED, MANUAL_EXCEPTION</t>
        </is>
      </c>
    </row>
    <row r="31">
      <c r="A31" s="23" t="inlineStr">
        <is>
          <t>Claims Service</t>
        </is>
      </c>
      <c r="B31" s="23" t="inlineStr">
        <is>
          <t>Enum</t>
        </is>
      </c>
      <c r="C31" s="23" t="inlineStr">
        <is>
          <t>-</t>
        </is>
      </c>
      <c r="D31" s="23" t="inlineStr">
        <is>
          <t>ClaimStatus</t>
        </is>
      </c>
      <c r="E31" s="23" t="inlineStr">
        <is>
          <t>SUBMITTED, UNDER_REVIEW, APPROVED, SETTLED, REJECTED, CANCELLED</t>
        </is>
      </c>
    </row>
    <row r="32">
      <c r="A32" s="23" t="inlineStr">
        <is>
          <t>Claims Service</t>
        </is>
      </c>
      <c r="B32" s="23" t="inlineStr">
        <is>
          <t>Enum</t>
        </is>
      </c>
      <c r="C32" s="23" t="inlineStr">
        <is>
          <t>-</t>
        </is>
      </c>
      <c r="D32" s="23" t="inlineStr">
        <is>
          <t>TriggerDetectionStatus</t>
        </is>
      </c>
      <c r="E32" s="23" t="inlineStr">
        <is>
          <t>DETECTED, NOT_DETECTED, UNDER_INVESTIGATION, CONFIRMED_MANUALLY, NOT_CONFIRMED</t>
        </is>
      </c>
    </row>
    <row r="33">
      <c r="A33" s="23" t="inlineStr">
        <is>
          <t>Trigger Service</t>
        </is>
      </c>
      <c r="B33" s="23" t="inlineStr">
        <is>
          <t>Enum</t>
        </is>
      </c>
      <c r="C33" s="23" t="inlineStr">
        <is>
          <t>-</t>
        </is>
      </c>
      <c r="D33" s="23" t="inlineStr">
        <is>
          <t>AggregationType</t>
        </is>
      </c>
      <c r="E33" s="23" t="inlineStr">
        <is>
          <t>SUM, AVERAGE, MINIMUM, MAXIMUM, LATEST</t>
        </is>
      </c>
    </row>
    <row r="34">
      <c r="A34" s="23" t="inlineStr">
        <is>
          <t>Trigger Service</t>
        </is>
      </c>
      <c r="B34" s="23" t="inlineStr">
        <is>
          <t>Enum</t>
        </is>
      </c>
      <c r="C34" s="23" t="inlineStr">
        <is>
          <t>-</t>
        </is>
      </c>
      <c r="D34" s="23" t="inlineStr">
        <is>
          <t>ComparisonOperator</t>
        </is>
      </c>
      <c r="E34" s="23" t="inlineStr">
        <is>
          <t>GREATER_THAN, GREATER_THAN_OR_EQUAL, LESS_THAN, LESS_THAN_OR_EQUAL, EQUAL</t>
        </is>
      </c>
    </row>
    <row r="35">
      <c r="A35" s="23" t="inlineStr">
        <is>
          <t>Trigger Service</t>
        </is>
      </c>
      <c r="B35" s="23" t="inlineStr">
        <is>
          <t>Table</t>
        </is>
      </c>
      <c r="C35" s="23" t="inlineStr">
        <is>
          <t>current_measurements</t>
        </is>
      </c>
      <c r="D35" s="23" t="inlineStr">
        <is>
          <t>CurrentMeasurement</t>
        </is>
      </c>
      <c r="E35" s="23" t="inlineStr">
        <is>
          <t>-</t>
        </is>
      </c>
    </row>
    <row r="36">
      <c r="A36" s="23" t="inlineStr">
        <is>
          <t>Trigger Service</t>
        </is>
      </c>
      <c r="B36" s="23" t="inlineStr">
        <is>
          <t>Table</t>
        </is>
      </c>
      <c r="C36" s="23" t="inlineStr">
        <is>
          <t>idempotency_records</t>
        </is>
      </c>
      <c r="D36" s="23" t="inlineStr">
        <is>
          <t>IdempotencyRecord</t>
        </is>
      </c>
      <c r="E36" s="23" t="inlineStr">
        <is>
          <t>-</t>
        </is>
      </c>
    </row>
    <row r="37">
      <c r="A37" s="23" t="inlineStr">
        <is>
          <t>Trigger Service</t>
        </is>
      </c>
      <c r="B37" s="23" t="inlineStr">
        <is>
          <t>Table</t>
        </is>
      </c>
      <c r="C37" s="23" t="inlineStr">
        <is>
          <t>location_zones</t>
        </is>
      </c>
      <c r="D37" s="23" t="inlineStr">
        <is>
          <t>LocationZone</t>
        </is>
      </c>
      <c r="E37" s="23" t="inlineStr">
        <is>
          <t>-</t>
        </is>
      </c>
    </row>
    <row r="38">
      <c r="A38" s="23" t="inlineStr">
        <is>
          <t>Trigger Service</t>
        </is>
      </c>
      <c r="B38" s="23" t="inlineStr">
        <is>
          <t>Enum</t>
        </is>
      </c>
      <c r="C38" s="23" t="inlineStr">
        <is>
          <t>-</t>
        </is>
      </c>
      <c r="D38" s="23" t="inlineStr">
        <is>
          <t>LocationZoneStatus</t>
        </is>
      </c>
      <c r="E38" s="23" t="inlineStr">
        <is>
          <t>ACTIVE, INACTIVE, ARCHIVED</t>
        </is>
      </c>
    </row>
    <row r="39">
      <c r="A39" s="23" t="inlineStr">
        <is>
          <t>Trigger Service</t>
        </is>
      </c>
      <c r="B39" s="23" t="inlineStr">
        <is>
          <t>Enum</t>
        </is>
      </c>
      <c r="C39" s="23" t="inlineStr">
        <is>
          <t>-</t>
        </is>
      </c>
      <c r="D39" s="23" t="inlineStr">
        <is>
          <t>MeasurementType</t>
        </is>
      </c>
      <c r="E39" s="23" t="inlineStr">
        <is>
          <t>RAINFALL, TEMPERATURE, WIND_SPEED, HUMIDITY, RIVER_LEVEL, SOIL_MOISTURE, OTHER</t>
        </is>
      </c>
    </row>
    <row r="40">
      <c r="A40" s="23" t="inlineStr">
        <is>
          <t>Trigger Service</t>
        </is>
      </c>
      <c r="B40" s="23" t="inlineStr">
        <is>
          <t>Enum</t>
        </is>
      </c>
      <c r="C40" s="23" t="inlineStr">
        <is>
          <t>-</t>
        </is>
      </c>
      <c r="D40" s="23" t="inlineStr">
        <is>
          <t>MeasurementUnit</t>
        </is>
      </c>
      <c r="E40" s="23" t="inlineStr">
        <is>
          <t>MM, CM, CELSIUS, KELVIN, KM_PER_HOUR, METERS_PER_SECOND, PERCENTAGE, METER, OTHER</t>
        </is>
      </c>
    </row>
    <row r="41">
      <c r="A41" s="23" t="inlineStr">
        <is>
          <t>Trigger Service</t>
        </is>
      </c>
      <c r="B41" s="23" t="inlineStr">
        <is>
          <t>Table</t>
        </is>
      </c>
      <c r="C41" s="23" t="inlineStr">
        <is>
          <t>observations</t>
        </is>
      </c>
      <c r="D41" s="23" t="inlineStr">
        <is>
          <t>Observation</t>
        </is>
      </c>
      <c r="E41" s="23" t="inlineStr">
        <is>
          <t>-</t>
        </is>
      </c>
    </row>
    <row r="42">
      <c r="A42" s="23" t="inlineStr">
        <is>
          <t>Trigger Service</t>
        </is>
      </c>
      <c r="B42" s="23" t="inlineStr">
        <is>
          <t>Enum</t>
        </is>
      </c>
      <c r="C42" s="23" t="inlineStr">
        <is>
          <t>-</t>
        </is>
      </c>
      <c r="D42" s="23" t="inlineStr">
        <is>
          <t>ObservationSource</t>
        </is>
      </c>
      <c r="E42" s="23" t="inlineStr">
        <is>
          <t>MOCK, MANUAL, WEATHER_API, SENSOR</t>
        </is>
      </c>
    </row>
    <row r="43">
      <c r="A43" s="23" t="inlineStr">
        <is>
          <t>Trigger Service</t>
        </is>
      </c>
      <c r="B43" s="23" t="inlineStr">
        <is>
          <t>Enum</t>
        </is>
      </c>
      <c r="C43" s="23" t="inlineStr">
        <is>
          <t>-</t>
        </is>
      </c>
      <c r="D43" s="23" t="inlineStr">
        <is>
          <t>ObservationStatus</t>
        </is>
      </c>
      <c r="E43" s="23" t="inlineStr">
        <is>
          <t>RECEIVED, VALIDATED, REJECTED</t>
        </is>
      </c>
    </row>
    <row r="44">
      <c r="A44" s="23" t="inlineStr">
        <is>
          <t>Trigger Service</t>
        </is>
      </c>
      <c r="B44" s="23" t="inlineStr">
        <is>
          <t>Table</t>
        </is>
      </c>
      <c r="C44" s="23" t="inlineStr">
        <is>
          <t>perils</t>
        </is>
      </c>
      <c r="D44" s="23" t="inlineStr">
        <is>
          <t>Peril</t>
        </is>
      </c>
      <c r="E44" s="23" t="inlineStr">
        <is>
          <t>-</t>
        </is>
      </c>
    </row>
    <row r="45">
      <c r="A45" s="23" t="inlineStr">
        <is>
          <t>Trigger Service</t>
        </is>
      </c>
      <c r="B45" s="23" t="inlineStr">
        <is>
          <t>Enum</t>
        </is>
      </c>
      <c r="C45" s="23" t="inlineStr">
        <is>
          <t>-</t>
        </is>
      </c>
      <c r="D45" s="23" t="inlineStr">
        <is>
          <t>PerilStatus</t>
        </is>
      </c>
      <c r="E45" s="23" t="inlineStr">
        <is>
          <t>ACTIVE, INACTIVE, ARCHIVED</t>
        </is>
      </c>
    </row>
    <row r="46">
      <c r="A46" s="23" t="inlineStr">
        <is>
          <t>Trigger Service</t>
        </is>
      </c>
      <c r="B46" s="23" t="inlineStr">
        <is>
          <t>Table</t>
        </is>
      </c>
      <c r="C46" s="23" t="inlineStr">
        <is>
          <t>trigger_definitions</t>
        </is>
      </c>
      <c r="D46" s="23" t="inlineStr">
        <is>
          <t>TriggerDefinition</t>
        </is>
      </c>
      <c r="E46" s="23" t="inlineStr">
        <is>
          <t>-</t>
        </is>
      </c>
    </row>
    <row r="47">
      <c r="A47" s="23" t="inlineStr">
        <is>
          <t>Trigger Service</t>
        </is>
      </c>
      <c r="B47" s="23" t="inlineStr">
        <is>
          <t>Table</t>
        </is>
      </c>
      <c r="C47" s="23" t="inlineStr">
        <is>
          <t>trigger_events</t>
        </is>
      </c>
      <c r="D47" s="23" t="inlineStr">
        <is>
          <t>TriggerEvent</t>
        </is>
      </c>
      <c r="E47" s="23" t="inlineStr">
        <is>
          <t>-</t>
        </is>
      </c>
    </row>
    <row r="48">
      <c r="A48" s="23" t="inlineStr">
        <is>
          <t>Trigger Service</t>
        </is>
      </c>
      <c r="B48" s="23" t="inlineStr">
        <is>
          <t>Enum</t>
        </is>
      </c>
      <c r="C48" s="23" t="inlineStr">
        <is>
          <t>-</t>
        </is>
      </c>
      <c r="D48" s="23" t="inlineStr">
        <is>
          <t>TriggerDefinitionStatus</t>
        </is>
      </c>
      <c r="E48" s="23" t="inlineStr">
        <is>
          <t>DRAFT, ACTIVE, INACTIVE, ARCHIVED</t>
        </is>
      </c>
    </row>
    <row r="49">
      <c r="A49" s="23" t="inlineStr">
        <is>
          <t>Trigger Service</t>
        </is>
      </c>
      <c r="B49" s="23" t="inlineStr">
        <is>
          <t>Enum</t>
        </is>
      </c>
      <c r="C49" s="23" t="inlineStr">
        <is>
          <t>-</t>
        </is>
      </c>
      <c r="D49" s="23" t="inlineStr">
        <is>
          <t>TriggerEventStatus</t>
        </is>
      </c>
      <c r="E49" s="23" t="inlineStr">
        <is>
          <t>DETECTED, UNDER_VALIDATION, VERIFIED, REJECTED, PROCESSED</t>
        </is>
      </c>
    </row>
    <row r="50">
      <c r="A50" s="23" t="inlineStr">
        <is>
          <t>Financial Service</t>
        </is>
      </c>
      <c r="B50" s="23" t="inlineStr">
        <is>
          <t>Table</t>
        </is>
      </c>
      <c r="C50" s="23" t="inlineStr">
        <is>
          <t>financial_transactions</t>
        </is>
      </c>
      <c r="D50" s="23" t="inlineStr">
        <is>
          <t>FinancialTransaction</t>
        </is>
      </c>
      <c r="E50" s="23" t="inlineStr">
        <is>
          <t>-</t>
        </is>
      </c>
    </row>
    <row r="51">
      <c r="A51" s="23" t="inlineStr">
        <is>
          <t>Financial Service</t>
        </is>
      </c>
      <c r="B51" s="23" t="inlineStr">
        <is>
          <t>Enum</t>
        </is>
      </c>
      <c r="C51" s="23" t="inlineStr">
        <is>
          <t>-</t>
        </is>
      </c>
      <c r="D51" s="23" t="inlineStr">
        <is>
          <t>PaymentMethod</t>
        </is>
      </c>
      <c r="E51" s="23" t="inlineStr">
        <is>
          <t>MOCK_CARD, MOCK_BANK_TRANSFER, MOCK_UPI</t>
        </is>
      </c>
    </row>
    <row r="52">
      <c r="A52" s="23" t="inlineStr">
        <is>
          <t>Financial Service</t>
        </is>
      </c>
      <c r="B52" s="23" t="inlineStr">
        <is>
          <t>Table</t>
        </is>
      </c>
      <c r="C52" s="23" t="inlineStr">
        <is>
          <t>payments</t>
        </is>
      </c>
      <c r="D52" s="23" t="inlineStr">
        <is>
          <t>Payment</t>
        </is>
      </c>
      <c r="E52" s="23" t="inlineStr">
        <is>
          <t>-</t>
        </is>
      </c>
    </row>
    <row r="53">
      <c r="A53" s="23" t="inlineStr">
        <is>
          <t>Financial Service</t>
        </is>
      </c>
      <c r="B53" s="23" t="inlineStr">
        <is>
          <t>Enum</t>
        </is>
      </c>
      <c r="C53" s="23" t="inlineStr">
        <is>
          <t>-</t>
        </is>
      </c>
      <c r="D53" s="23" t="inlineStr">
        <is>
          <t>PaymentStatus</t>
        </is>
      </c>
      <c r="E53" s="23" t="inlineStr">
        <is>
          <t>PENDING, SUCCESS, FAILED, REFUNDED</t>
        </is>
      </c>
    </row>
    <row r="54">
      <c r="A54" s="23" t="inlineStr">
        <is>
          <t>Financial Service</t>
        </is>
      </c>
      <c r="B54" s="23" t="inlineStr">
        <is>
          <t>Table</t>
        </is>
      </c>
      <c r="C54" s="23" t="inlineStr">
        <is>
          <t>payouts</t>
        </is>
      </c>
      <c r="D54" s="23" t="inlineStr">
        <is>
          <t>Payout</t>
        </is>
      </c>
      <c r="E54" s="23" t="inlineStr">
        <is>
          <t>-</t>
        </is>
      </c>
    </row>
    <row r="55">
      <c r="A55" s="23" t="inlineStr">
        <is>
          <t>Financial Service</t>
        </is>
      </c>
      <c r="B55" s="23" t="inlineStr">
        <is>
          <t>Enum</t>
        </is>
      </c>
      <c r="C55" s="23" t="inlineStr">
        <is>
          <t>-</t>
        </is>
      </c>
      <c r="D55" s="23" t="inlineStr">
        <is>
          <t>PayoutStatus</t>
        </is>
      </c>
      <c r="E55" s="23" t="inlineStr">
        <is>
          <t>PENDING, PROCESSING, SUCCESS, FAILED</t>
        </is>
      </c>
    </row>
    <row r="56">
      <c r="A56" s="23" t="inlineStr">
        <is>
          <t>Financial Service</t>
        </is>
      </c>
      <c r="B56" s="23" t="inlineStr">
        <is>
          <t>Table</t>
        </is>
      </c>
      <c r="C56" s="23" t="inlineStr">
        <is>
          <t>pricing_rules</t>
        </is>
      </c>
      <c r="D56" s="23" t="inlineStr">
        <is>
          <t>PricingRule</t>
        </is>
      </c>
      <c r="E56" s="23" t="inlineStr">
        <is>
          <t>-</t>
        </is>
      </c>
    </row>
    <row r="57">
      <c r="A57" s="23" t="inlineStr">
        <is>
          <t>Financial Service</t>
        </is>
      </c>
      <c r="B57" s="23" t="inlineStr">
        <is>
          <t>Enum</t>
        </is>
      </c>
      <c r="C57" s="23" t="inlineStr">
        <is>
          <t>-</t>
        </is>
      </c>
      <c r="D57" s="23" t="inlineStr">
        <is>
          <t>PricingRuleStatus</t>
        </is>
      </c>
      <c r="E57" s="23" t="inlineStr">
        <is>
          <t>DRAFT, ACTIVE, INACTIVE, ARCHIVED</t>
        </is>
      </c>
    </row>
    <row r="58">
      <c r="A58" s="23" t="inlineStr">
        <is>
          <t>Financial Service</t>
        </is>
      </c>
      <c r="B58" s="23" t="inlineStr">
        <is>
          <t>Table</t>
        </is>
      </c>
      <c r="C58" s="23" t="inlineStr">
        <is>
          <t>quotes</t>
        </is>
      </c>
      <c r="D58" s="23" t="inlineStr">
        <is>
          <t>Quote</t>
        </is>
      </c>
      <c r="E58" s="23" t="inlineStr">
        <is>
          <t>-</t>
        </is>
      </c>
    </row>
    <row r="59">
      <c r="A59" s="23" t="inlineStr">
        <is>
          <t>Financial Service</t>
        </is>
      </c>
      <c r="B59" s="23" t="inlineStr">
        <is>
          <t>Enum</t>
        </is>
      </c>
      <c r="C59" s="23" t="inlineStr">
        <is>
          <t>-</t>
        </is>
      </c>
      <c r="D59" s="23" t="inlineStr">
        <is>
          <t>QuoteStatus</t>
        </is>
      </c>
      <c r="E59" s="23" t="inlineStr">
        <is>
          <t>CREATED, ACCEPTED, EXPIRED, CANCELLED, CONSUMED</t>
        </is>
      </c>
    </row>
    <row r="60">
      <c r="A60" s="23" t="inlineStr">
        <is>
          <t>Financial Service</t>
        </is>
      </c>
      <c r="B60" s="23" t="inlineStr">
        <is>
          <t>Table</t>
        </is>
      </c>
      <c r="C60" s="23" t="inlineStr">
        <is>
          <t>reconciliation_records</t>
        </is>
      </c>
      <c r="D60" s="23" t="inlineStr">
        <is>
          <t>ReconciliationRecord</t>
        </is>
      </c>
      <c r="E60" s="23" t="inlineStr">
        <is>
          <t>-</t>
        </is>
      </c>
    </row>
    <row r="61">
      <c r="A61" s="23" t="inlineStr">
        <is>
          <t>Notification Service</t>
        </is>
      </c>
      <c r="B61" s="23" t="inlineStr">
        <is>
          <t>Table</t>
        </is>
      </c>
      <c r="C61" s="23" t="inlineStr">
        <is>
          <t>notifications</t>
        </is>
      </c>
      <c r="D61" s="23" t="inlineStr">
        <is>
          <t>Notification</t>
        </is>
      </c>
      <c r="E61" s="23" t="inlineStr">
        <is>
          <t>-</t>
        </is>
      </c>
    </row>
    <row r="62">
      <c r="A62" s="23" t="inlineStr">
        <is>
          <t>Notification Service</t>
        </is>
      </c>
      <c r="B62" s="23" t="inlineStr">
        <is>
          <t>Enum</t>
        </is>
      </c>
      <c r="C62" s="23" t="inlineStr">
        <is>
          <t>-</t>
        </is>
      </c>
      <c r="D62" s="23" t="inlineStr">
        <is>
          <t>NotificationType</t>
        </is>
      </c>
      <c r="E62" s="23" t="inlineStr">
        <is>
          <t>POLICY_SUBMITTED, POLICY_APPROVED, POLICY_REJECTED, POLICY_CANCELLED, POLICY_EXPIRED, POLICY_RENEWAL_DUE, POLICY_DOCUMENT_REQUESTED, PRODUCT_CREATED, PRODUCT_UPDATED, CLAIM_SUBMITTED, CLAIM_UNDER_REVIEW, CLAIM_APPROVED, CLAIM_REJECTED, CLAIM_CANCELLED, CLAIM_SETTLED, MANUAL_CLAIM_SUBMITTED, MANUAL_CLAIM_INVESTIGATION_STARTED, MANUAL_CLAIM_INVESTIGATION_COMPLETED, AUTOMATIC_CLAIM_CREATED, CLAIM_DOCUMENT_REQUESTED, CLAIM_REMINDER, CLAIM_ESCALATED, CLAIM_PAYMENT_INITIATED, TRIGGER_DETECTED, TRIGGER_VERIFIED, TRIGGER_REJECTED, TRIGGER_PROCESSED, THRESHOLD_APPROACHING, TRIGGER_THRESHOLD_EXCEEDED, TRIGGER_EVENT_DETECTED, TRIGGER_EVENT_VERIFIED, TRIGGER_EVENT_REJECTED, MANUAL_TRIGGER_CONFIRMED, MANUAL_TRIGGER_NOT_CONFIRMED, PARAMETRIC_COVERAGE_TRIGGERED, OBSERVATION_CREATED, PERIL_CREATED, TRIGGER_DEFINITION_CREATED, LOCATION_ZONE_CREATED, PAYMENT_SUCCESS, PAYMENT_FAILED, PAYMENT_PENDING, PAYMENT_RETRY, PAYMENT_REFUNDED, PAYOUT_PROCESSED, PAYOUT_INITIATED, PAYOUT_SUCCESS, PAYOUT_FAILED, PAYOUT_PENDING, PAYOUT_RETRY, QUOTE_CREATED, QUOTE_EXPIRED, QUOTE_CONSUMED, PREMIUM_DUE, PREMIUM_OVERDUE, REFUND_PROCESSED, REFUND_FAILED, RECONCILIATION_COMPLETED, RECONCILIATION_DISCREPANCY, PRICING_RULE_CREATED, PRICING_RULE_UPDATED, GENERAL</t>
        </is>
      </c>
    </row>
    <row r="63">
      <c r="A63" s="23" t="inlineStr">
        <is>
          <t>Notification Service</t>
        </is>
      </c>
      <c r="B63" s="23" t="inlineStr">
        <is>
          <t>Enum</t>
        </is>
      </c>
      <c r="C63" s="23" t="inlineStr">
        <is>
          <t>-</t>
        </is>
      </c>
      <c r="D63" s="23" t="inlineStr">
        <is>
          <t>RelatedEntityType</t>
        </is>
      </c>
      <c r="E63" s="23" t="inlineStr">
        <is>
          <t>POLICY, CLAIM, TRIGGER_EVENT, PAYMENT, PAYOUT, QUOTE, PRICING_RULE, RECONCILIATION, USER, PRODUCT</t>
        </is>
      </c>
    </row>
    <row r="64">
      <c r="A64" s="33" t="n"/>
      <c r="B64" s="33" t="n"/>
      <c r="C64" s="33" t="n"/>
      <c r="D64" s="33" t="n"/>
      <c r="E64" s="33" t="n"/>
    </row>
    <row r="65">
      <c r="A65" s="33" t="n"/>
      <c r="B65" s="33" t="n"/>
      <c r="C65" s="33" t="n"/>
      <c r="D65" s="33" t="n"/>
      <c r="E65" s="33" t="n"/>
    </row>
    <row r="66">
      <c r="A66" s="33" t="n"/>
      <c r="B66" s="33" t="n"/>
      <c r="C66" s="33" t="n"/>
      <c r="D66" s="33" t="n"/>
      <c r="E66" s="33" t="n"/>
    </row>
    <row r="67">
      <c r="A67" s="33" t="n"/>
      <c r="B67" s="33" t="n"/>
      <c r="C67" s="33" t="n"/>
      <c r="D67" s="33" t="n"/>
      <c r="E67" s="33" t="n"/>
    </row>
    <row r="68">
      <c r="A68" s="33" t="n"/>
      <c r="B68" s="33" t="n"/>
      <c r="C68" s="33" t="n"/>
      <c r="D68" s="33" t="n"/>
      <c r="E68" s="33" t="n"/>
    </row>
    <row r="69">
      <c r="A69" s="33" t="n"/>
      <c r="B69" s="33" t="n"/>
      <c r="C69" s="33" t="n"/>
      <c r="D69" s="33" t="n"/>
      <c r="E69" s="33" t="n"/>
    </row>
    <row r="70">
      <c r="A70" s="33" t="n"/>
      <c r="B70" s="33" t="n"/>
      <c r="C70" s="33" t="n"/>
      <c r="D70" s="33" t="n"/>
      <c r="E70" s="33" t="n"/>
    </row>
    <row r="71">
      <c r="A71" s="33" t="n"/>
      <c r="B71" s="33" t="n"/>
      <c r="C71" s="33" t="n"/>
      <c r="D71" s="33" t="n"/>
      <c r="E71" s="33" t="n"/>
    </row>
    <row r="72">
      <c r="A72" s="33" t="n"/>
      <c r="B72" s="33" t="n"/>
      <c r="C72" s="33" t="n"/>
      <c r="D72" s="33" t="n"/>
      <c r="E72" s="33" t="n"/>
    </row>
    <row r="73">
      <c r="A73" s="33" t="n"/>
      <c r="B73" s="33" t="n"/>
      <c r="C73" s="33" t="n"/>
      <c r="D73" s="33" t="n"/>
      <c r="E73" s="33" t="n"/>
    </row>
    <row r="74">
      <c r="A74" s="33" t="n"/>
      <c r="B74" s="33" t="n"/>
      <c r="C74" s="33" t="n"/>
      <c r="D74" s="33" t="n"/>
      <c r="E74" s="33" t="n"/>
    </row>
    <row r="75">
      <c r="A75" s="33" t="n"/>
      <c r="B75" s="33" t="n"/>
      <c r="C75" s="33" t="n"/>
      <c r="D75" s="33" t="n"/>
      <c r="E75" s="33" t="n"/>
    </row>
    <row r="76">
      <c r="A76" s="33" t="n"/>
      <c r="B76" s="33" t="n"/>
      <c r="C76" s="33" t="n"/>
      <c r="D76" s="33" t="n"/>
      <c r="E76" s="33" t="n"/>
    </row>
    <row r="77">
      <c r="A77" s="33" t="n"/>
      <c r="B77" s="33" t="n"/>
      <c r="C77" s="33" t="n"/>
      <c r="D77" s="33" t="n"/>
      <c r="E77" s="33" t="n"/>
    </row>
    <row r="78">
      <c r="A78" s="33" t="n"/>
      <c r="B78" s="33" t="n"/>
      <c r="C78" s="33" t="n"/>
      <c r="D78" s="33" t="n"/>
      <c r="E78" s="33" t="n"/>
    </row>
    <row r="79" ht="162.5" customHeight="1" s="20">
      <c r="A79" s="33" t="n"/>
      <c r="B79" s="33" t="n"/>
      <c r="C79" s="33" t="n"/>
      <c r="D79" s="33" t="n"/>
      <c r="E79" s="33" t="n"/>
    </row>
    <row r="80">
      <c r="A80" s="33" t="n"/>
      <c r="B80" s="33" t="n"/>
      <c r="C80" s="33" t="n"/>
      <c r="D80" s="33" t="n"/>
      <c r="E80" s="3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E37"/>
  <sheetViews>
    <sheetView showGridLines="0" topLeftCell="D19" workbookViewId="0">
      <selection activeCell="A1" sqref="A1"/>
    </sheetView>
  </sheetViews>
  <sheetFormatPr baseColWidth="8" defaultRowHeight="14.5"/>
  <cols>
    <col width="20" customWidth="1" style="20" min="1" max="1"/>
    <col width="12" customWidth="1" style="20" min="2" max="2"/>
    <col width="46" customWidth="1" style="20" min="3" max="3"/>
    <col width="80" customWidth="1" style="20" min="4" max="4"/>
    <col width="26" customWidth="1" style="20" min="5" max="5"/>
  </cols>
  <sheetData>
    <row r="1" ht="20" customHeight="1" s="20">
      <c r="A1" s="1" t="inlineStr">
        <is>
          <t>Entity Status Lifecycles (state machines enforced in code)</t>
        </is>
      </c>
    </row>
    <row r="4">
      <c r="A4" s="8" t="inlineStr">
        <is>
          <t>Entity</t>
        </is>
      </c>
      <c r="B4" s="8" t="inlineStr">
        <is>
          <t>Service</t>
        </is>
      </c>
      <c r="C4" s="8" t="inlineStr">
        <is>
          <t>Transition</t>
        </is>
      </c>
      <c r="D4" s="8" t="inlineStr">
        <is>
          <t>Triggered by (endpoint / job)</t>
        </is>
      </c>
      <c r="E4" s="8" t="inlineStr">
        <is>
          <t>Actor</t>
        </is>
      </c>
    </row>
    <row r="5">
      <c r="A5" s="23" t="inlineStr">
        <is>
          <t>Policy</t>
        </is>
      </c>
      <c r="B5" s="23" t="inlineStr">
        <is>
          <t>Product</t>
        </is>
      </c>
      <c r="C5" s="23" t="inlineStr">
        <is>
          <t>(new) -&gt; PENDING</t>
        </is>
      </c>
      <c r="D5" s="23" t="inlineStr">
        <is>
          <t>POST /api/policies, /custom, /{id}/renew, renewal scheduler</t>
        </is>
      </c>
      <c r="E5" s="23" t="inlineStr">
        <is>
          <t>Customer / System</t>
        </is>
      </c>
    </row>
    <row r="6">
      <c r="A6" s="23" t="inlineStr">
        <is>
          <t>Policy</t>
        </is>
      </c>
      <c r="B6" s="23" t="inlineStr">
        <is>
          <t>Product</t>
        </is>
      </c>
      <c r="C6" s="23" t="inlineStr">
        <is>
          <t>PENDING -&gt; ACTIVE</t>
        </is>
      </c>
      <c r="D6" s="23" t="inlineStr">
        <is>
          <t>PUT /api/policies/{id}/approve</t>
        </is>
      </c>
      <c r="E6" s="23" t="inlineStr">
        <is>
          <t>Underwriter / Admin</t>
        </is>
      </c>
    </row>
    <row r="7">
      <c r="A7" s="23" t="inlineStr">
        <is>
          <t>Policy</t>
        </is>
      </c>
      <c r="B7" s="23" t="inlineStr">
        <is>
          <t>Product</t>
        </is>
      </c>
      <c r="C7" s="23" t="inlineStr">
        <is>
          <t>PENDING -&gt; REJECTED</t>
        </is>
      </c>
      <c r="D7" s="23" t="inlineStr">
        <is>
          <t>PUT /api/policies/{id}/reject (reason required)</t>
        </is>
      </c>
      <c r="E7" s="23" t="inlineStr">
        <is>
          <t>Underwriter / Admin</t>
        </is>
      </c>
    </row>
    <row r="8">
      <c r="A8" s="23" t="inlineStr">
        <is>
          <t>Policy</t>
        </is>
      </c>
      <c r="B8" s="23" t="inlineStr">
        <is>
          <t>Product</t>
        </is>
      </c>
      <c r="C8" s="23" t="inlineStr">
        <is>
          <t>PENDING -&gt; CANCELLED</t>
        </is>
      </c>
      <c r="D8" s="23" t="inlineStr">
        <is>
          <t>PUT /api/policies/{id}/cancel</t>
        </is>
      </c>
      <c r="E8" s="23" t="inlineStr">
        <is>
          <t>Customer</t>
        </is>
      </c>
    </row>
    <row r="9">
      <c r="A9" s="23" t="inlineStr">
        <is>
          <t>Policy</t>
        </is>
      </c>
      <c r="B9" s="23" t="inlineStr">
        <is>
          <t>Product</t>
        </is>
      </c>
      <c r="C9" s="23" t="inlineStr">
        <is>
          <t>ACTIVE -&gt; EXPIRED</t>
        </is>
      </c>
      <c r="D9" s="23" t="inlineStr">
        <is>
          <t>PolicyExpiryScheduler</t>
        </is>
      </c>
      <c r="E9" s="23" t="inlineStr">
        <is>
          <t>System</t>
        </is>
      </c>
    </row>
    <row r="10" ht="25" customHeight="1" s="20">
      <c r="A10" s="23" t="inlineStr">
        <is>
          <t>Product</t>
        </is>
      </c>
      <c r="B10" s="23" t="inlineStr">
        <is>
          <t>Product</t>
        </is>
      </c>
      <c r="C10" s="23" t="inlineStr">
        <is>
          <t>(new) -&gt; DRAFT -&gt; ACTIVE &lt;-&gt; INACTIVE -&gt; ARCHIVED</t>
        </is>
      </c>
      <c r="D10" s="23" t="inlineStr">
        <is>
          <t>POST /api/products; PUT /{id}/status (ACTIVE needs complete trigger; ARCHIVED needs no open policies); DELETE</t>
        </is>
      </c>
      <c r="E10" s="23" t="inlineStr">
        <is>
          <t>Admin</t>
        </is>
      </c>
    </row>
    <row r="11">
      <c r="A11" s="23" t="inlineStr">
        <is>
          <t>Quote</t>
        </is>
      </c>
      <c r="B11" s="23" t="inlineStr">
        <is>
          <t>Financial</t>
        </is>
      </c>
      <c r="C11" s="23" t="inlineStr">
        <is>
          <t>(new) -&gt; CREATED</t>
        </is>
      </c>
      <c r="D11" s="23" t="inlineStr">
        <is>
          <t>POST /api/financial/quotes</t>
        </is>
      </c>
      <c r="E11" s="23" t="inlineStr">
        <is>
          <t>Customer</t>
        </is>
      </c>
    </row>
    <row r="12">
      <c r="A12" s="23" t="inlineStr">
        <is>
          <t>Quote</t>
        </is>
      </c>
      <c r="B12" s="23" t="inlineStr">
        <is>
          <t>Financial</t>
        </is>
      </c>
      <c r="C12" s="23" t="inlineStr">
        <is>
          <t>CREATED -&gt; ACCEPTED</t>
        </is>
      </c>
      <c r="D12" s="23" t="inlineStr">
        <is>
          <t>PUT /quotes/{id}/accept</t>
        </is>
      </c>
      <c r="E12" s="23" t="inlineStr">
        <is>
          <t>Customer</t>
        </is>
      </c>
    </row>
    <row r="13">
      <c r="A13" s="23" t="inlineStr">
        <is>
          <t>Quote</t>
        </is>
      </c>
      <c r="B13" s="23" t="inlineStr">
        <is>
          <t>Financial</t>
        </is>
      </c>
      <c r="C13" s="23" t="inlineStr">
        <is>
          <t>ACCEPTED -&gt; CONSUMED</t>
        </is>
      </c>
      <c r="D13" s="23" t="inlineStr">
        <is>
          <t>PUT /internal/financial/quotes/{id}/consume (policy application)</t>
        </is>
      </c>
      <c r="E13" s="23" t="inlineStr">
        <is>
          <t>Product-Svc</t>
        </is>
      </c>
    </row>
    <row r="14">
      <c r="A14" s="23" t="inlineStr">
        <is>
          <t>Quote</t>
        </is>
      </c>
      <c r="B14" s="23" t="inlineStr">
        <is>
          <t>Financial</t>
        </is>
      </c>
      <c r="C14" s="23" t="inlineStr">
        <is>
          <t>CREATED/ACCEPTED -&gt; EXPIRED / CANCELLED</t>
        </is>
      </c>
      <c r="D14" s="23" t="inlineStr">
        <is>
          <t>expiry after 7 days on read/validate; PUT /quotes/{id}/cancel</t>
        </is>
      </c>
      <c r="E14" s="23" t="inlineStr">
        <is>
          <t>System / Customer</t>
        </is>
      </c>
    </row>
    <row r="15">
      <c r="A15" s="23" t="inlineStr">
        <is>
          <t>Pricing rule</t>
        </is>
      </c>
      <c r="B15" s="23" t="inlineStr">
        <is>
          <t>Financial</t>
        </is>
      </c>
      <c r="C15" s="23" t="inlineStr">
        <is>
          <t>DRAFT / ACTIVE / INACTIVE / ARCHIVED</t>
        </is>
      </c>
      <c r="D15" s="23" t="inlineStr">
        <is>
          <t>PUT /pricing-rules/{id}/status; DELETE archives</t>
        </is>
      </c>
      <c r="E15" s="23" t="inlineStr">
        <is>
          <t>Admin</t>
        </is>
      </c>
    </row>
    <row r="16">
      <c r="A16" s="23" t="inlineStr">
        <is>
          <t>Payment</t>
        </is>
      </c>
      <c r="B16" s="23" t="inlineStr">
        <is>
          <t>Financial</t>
        </is>
      </c>
      <c r="C16" s="23" t="inlineStr">
        <is>
          <t>(new) -&gt; SUCCESS</t>
        </is>
      </c>
      <c r="D16" s="23" t="inlineStr">
        <is>
          <t>POST /api/financial/payments (simulated checkout settles at once)</t>
        </is>
      </c>
      <c r="E16" s="23" t="inlineStr">
        <is>
          <t>Customer</t>
        </is>
      </c>
    </row>
    <row r="17">
      <c r="A17" s="23" t="inlineStr">
        <is>
          <t>Payment</t>
        </is>
      </c>
      <c r="B17" s="23" t="inlineStr">
        <is>
          <t>Financial</t>
        </is>
      </c>
      <c r="C17" s="23" t="inlineStr">
        <is>
          <t>SUCCESS -&gt; REFUNDED</t>
        </is>
      </c>
      <c r="D17" s="23" t="inlineStr">
        <is>
          <t>PUT /payments/{id}/refund</t>
        </is>
      </c>
      <c r="E17" s="23" t="inlineStr">
        <is>
          <t>Admin</t>
        </is>
      </c>
    </row>
    <row r="18">
      <c r="A18" s="23" t="inlineStr">
        <is>
          <t>Payout</t>
        </is>
      </c>
      <c r="B18" s="23" t="inlineStr">
        <is>
          <t>Financial</t>
        </is>
      </c>
      <c r="C18" s="23" t="inlineStr">
        <is>
          <t>(new) -&gt; SUCCESS</t>
        </is>
      </c>
      <c r="D18" s="23" t="inlineStr">
        <is>
          <t>POST /internal/financial/payouts on claim approval (paid at once, mock bank transfer)</t>
        </is>
      </c>
      <c r="E18" s="23" t="inlineStr">
        <is>
          <t>Claims-Svc</t>
        </is>
      </c>
    </row>
    <row r="19">
      <c r="A19" s="23" t="inlineStr">
        <is>
          <t>Payout</t>
        </is>
      </c>
      <c r="B19" s="23" t="inlineStr">
        <is>
          <t>Financial</t>
        </is>
      </c>
      <c r="C19" s="23" t="inlineStr">
        <is>
          <t>FAILED -&gt; SUCCESS</t>
        </is>
      </c>
      <c r="D19" s="23" t="inlineStr">
        <is>
          <t>PUT /payouts/{id}/retry; PayoutRetryScheduler (old failed payouts, max 3 tries)</t>
        </is>
      </c>
      <c r="E19" s="23" t="inlineStr">
        <is>
          <t>Admin / System</t>
        </is>
      </c>
    </row>
    <row r="20">
      <c r="A20" s="23" t="inlineStr">
        <is>
          <t>Claim</t>
        </is>
      </c>
      <c r="B20" s="23" t="inlineStr">
        <is>
          <t>Claims</t>
        </is>
      </c>
      <c r="C20" s="23" t="inlineStr">
        <is>
          <t>(new) -&gt; SUBMITTED</t>
        </is>
      </c>
      <c r="D20" s="23" t="inlineStr">
        <is>
          <t>POST /api/claims (manual); POST /internal/claims/from-trigger-event (automatic)</t>
        </is>
      </c>
      <c r="E20" s="23" t="inlineStr">
        <is>
          <t>Customer / System</t>
        </is>
      </c>
    </row>
    <row r="21">
      <c r="A21" s="23" t="inlineStr">
        <is>
          <t>Claim</t>
        </is>
      </c>
      <c r="B21" s="23" t="inlineStr">
        <is>
          <t>Claims</t>
        </is>
      </c>
      <c r="C21" s="23" t="inlineStr">
        <is>
          <t>SUBMITTED -&gt; UNDER_REVIEW</t>
        </is>
      </c>
      <c r="D21" s="23" t="inlineStr">
        <is>
          <t>PUT /api/claims/{id}/start-review</t>
        </is>
      </c>
      <c r="E21" s="23" t="inlineStr">
        <is>
          <t>Claims Officer / Admin</t>
        </is>
      </c>
    </row>
    <row r="22">
      <c r="A22" s="23" t="inlineStr">
        <is>
          <t>Claim</t>
        </is>
      </c>
      <c r="B22" s="23" t="inlineStr">
        <is>
          <t>Claims</t>
        </is>
      </c>
      <c r="C22" s="23" t="inlineStr">
        <is>
          <t>UNDER_REVIEW -&gt; APPROVED | REJECTED</t>
        </is>
      </c>
      <c r="D22" s="23" t="inlineStr">
        <is>
          <t>PUT /{id}/approve (0 &lt; amount &lt;= claimed) | /reject</t>
        </is>
      </c>
      <c r="E22" s="23" t="inlineStr">
        <is>
          <t>Claims Officer / Admin</t>
        </is>
      </c>
    </row>
    <row r="23">
      <c r="A23" s="23" t="inlineStr">
        <is>
          <t>Claim</t>
        </is>
      </c>
      <c r="B23" s="23" t="inlineStr">
        <is>
          <t>Claims</t>
        </is>
      </c>
      <c r="C23" s="23" t="inlineStr">
        <is>
          <t>APPROVED -&gt; SETTLED</t>
        </is>
      </c>
      <c r="D23" s="23" t="inlineStr">
        <is>
          <t>PUT /internal/claims/{id}/settle after the payout (or PUT /api/claims/{id}/settle)</t>
        </is>
      </c>
      <c r="E23" s="23" t="inlineStr">
        <is>
          <t>Financial-Svc / Claims Officer</t>
        </is>
      </c>
    </row>
    <row r="24">
      <c r="A24" s="23" t="inlineStr">
        <is>
          <t>Claim</t>
        </is>
      </c>
      <c r="B24" s="23" t="inlineStr">
        <is>
          <t>Claims</t>
        </is>
      </c>
      <c r="C24" s="23" t="inlineStr">
        <is>
          <t>SUBMITTED -&gt; CANCELLED</t>
        </is>
      </c>
      <c r="D24" s="23" t="inlineStr">
        <is>
          <t>PUT /api/claims/{id}/cancel</t>
        </is>
      </c>
      <c r="E24" s="23" t="inlineStr">
        <is>
          <t>Customer</t>
        </is>
      </c>
    </row>
    <row r="25">
      <c r="A25" s="23" t="inlineStr">
        <is>
          <t>Trigger definition</t>
        </is>
      </c>
      <c r="B25" s="23" t="inlineStr">
        <is>
          <t>Trigger</t>
        </is>
      </c>
      <c r="C25" s="23" t="inlineStr">
        <is>
          <t>ACTIVE &lt;-&gt; INACTIVE; -&gt; ARCHIVED</t>
        </is>
      </c>
      <c r="D25" s="23" t="inlineStr">
        <is>
          <t>Product sync PUT /internal/triggers/products/{id}/definition</t>
        </is>
      </c>
      <c r="E25" s="23" t="inlineStr">
        <is>
          <t>Product-Svc</t>
        </is>
      </c>
    </row>
    <row r="26">
      <c r="A26" s="23" t="inlineStr">
        <is>
          <t>Trigger event</t>
        </is>
      </c>
      <c r="B26" s="23" t="inlineStr">
        <is>
          <t>Trigger</t>
        </is>
      </c>
      <c r="C26" s="23" t="inlineStr">
        <is>
          <t>(new) -&gt; VERIFIED (direct)</t>
        </is>
      </c>
      <c r="D26" s="23" t="inlineStr">
        <is>
          <t>PUT /api/triggers/current-measurements or PUT /api/triggers/measurements/current (match)</t>
        </is>
      </c>
      <c r="E26" s="23" t="inlineStr">
        <is>
          <t>Admin</t>
        </is>
      </c>
    </row>
    <row r="27">
      <c r="A27" s="23" t="inlineStr">
        <is>
          <t>Trigger event</t>
        </is>
      </c>
      <c r="B27" s="23" t="inlineStr">
        <is>
          <t>Trigger</t>
        </is>
      </c>
      <c r="C27" s="23" t="inlineStr">
        <is>
          <t>VERIFIED -&gt; PROCESSED</t>
        </is>
      </c>
      <c r="D27" s="23" t="inlineStr">
        <is>
          <t>PUT /internal/triggers/events/{id}/processed (after the payout)</t>
        </is>
      </c>
      <c r="E27" s="23" t="inlineStr">
        <is>
          <t>Financial-Svc</t>
        </is>
      </c>
    </row>
    <row r="28">
      <c r="A28" s="23" t="inlineStr">
        <is>
          <t>Location zone / Peril</t>
        </is>
      </c>
      <c r="B28" s="23" t="inlineStr">
        <is>
          <t>Trigger</t>
        </is>
      </c>
      <c r="C28" s="23" t="inlineStr">
        <is>
          <t>ACTIVE / INACTIVE / ARCHIVED; ARCHIVED -&gt; INACTIVE (restore)</t>
        </is>
      </c>
      <c r="D28" s="23" t="inlineStr">
        <is>
          <t>PUT /{id}/status; DELETE archives (zone blocked if policies exist); PUT /{id}/restore</t>
        </is>
      </c>
      <c r="E28" s="23" t="inlineStr">
        <is>
          <t>Admin</t>
        </is>
      </c>
    </row>
    <row r="29" ht="25" customHeight="1" s="20">
      <c r="A29" s="23" t="inlineStr">
        <is>
          <t>User</t>
        </is>
      </c>
      <c r="B29" s="23" t="inlineStr">
        <is>
          <t>Auth</t>
        </is>
      </c>
      <c r="C29" s="23" t="inlineStr">
        <is>
          <t>ACTIVE / SUSPENDED / INACTIVE</t>
        </is>
      </c>
      <c r="D29" s="23" t="inlineStr">
        <is>
          <t>PUT /api/users/{id}/status</t>
        </is>
      </c>
      <c r="E29" s="23" t="inlineStr">
        <is>
          <t>Admin</t>
        </is>
      </c>
    </row>
    <row r="30" ht="25" customHeight="1" s="20">
      <c r="A30" s="33" t="n"/>
      <c r="B30" s="33" t="n"/>
      <c r="C30" s="33" t="n"/>
      <c r="D30" s="33" t="n"/>
      <c r="E30" s="33" t="n"/>
    </row>
    <row r="31">
      <c r="A31" s="33" t="n"/>
      <c r="B31" s="33" t="n"/>
      <c r="C31" s="33" t="n"/>
      <c r="D31" s="33" t="n"/>
      <c r="E31" s="33" t="n"/>
    </row>
    <row r="32">
      <c r="A32" s="33" t="n"/>
      <c r="B32" s="33" t="n"/>
      <c r="C32" s="33" t="n"/>
      <c r="D32" s="33" t="n"/>
      <c r="E32" s="33" t="n"/>
    </row>
    <row r="33" ht="25" customHeight="1" s="20">
      <c r="A33" s="33" t="n"/>
      <c r="B33" s="33" t="n"/>
      <c r="C33" s="33" t="n"/>
      <c r="D33" s="33" t="n"/>
      <c r="E33" s="33" t="n"/>
    </row>
    <row r="34">
      <c r="A34" s="33" t="n"/>
      <c r="B34" s="33" t="n"/>
      <c r="C34" s="33" t="n"/>
      <c r="D34" s="33" t="n"/>
      <c r="E34" s="33" t="n"/>
    </row>
    <row r="35">
      <c r="A35" s="33" t="n"/>
      <c r="B35" s="33" t="n"/>
      <c r="C35" s="33" t="n"/>
      <c r="D35" s="33" t="n"/>
      <c r="E35" s="33" t="n"/>
    </row>
    <row r="36">
      <c r="A36" s="33" t="n"/>
      <c r="B36" s="33" t="n"/>
      <c r="C36" s="33" t="n"/>
      <c r="D36" s="33" t="n"/>
      <c r="E36" s="33" t="n"/>
    </row>
    <row r="37">
      <c r="A37" s="33" t="n"/>
      <c r="B37" s="33" t="n"/>
      <c r="C37" s="33" t="n"/>
      <c r="D37" s="33" t="n"/>
      <c r="E37" s="3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G57"/>
  <sheetViews>
    <sheetView showGridLines="0" workbookViewId="0">
      <pane xSplit="1" ySplit="4" topLeftCell="AR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40" customWidth="1" style="20" min="1" max="1"/>
    <col width="22" customWidth="1" style="20" min="2" max="2"/>
    <col width="16" customWidth="1" style="20" min="3" max="3"/>
    <col width="34" customWidth="1" style="20" min="4" max="4"/>
    <col width="55" customWidth="1" style="20" min="5" max="5"/>
    <col width="60" customWidth="1" style="20" min="6" max="7"/>
  </cols>
  <sheetData>
    <row r="1" ht="20" customHeight="1" s="20">
      <c r="A1" s="1" t="inlineStr">
        <is>
          <t>Angular SPA - Routes, Components, Actions &amp; Backend Calls</t>
        </is>
      </c>
    </row>
    <row r="2">
      <c r="A2" s="2" t="inlineStr">
        <is>
          <t>All secured routes use authGuard + roleGuard. Endpoints resolved from API_ENDPOINTS constants (base http://localhost:8080).</t>
        </is>
      </c>
    </row>
    <row r="4">
      <c r="A4" s="8" t="inlineStr">
        <is>
          <t>Route</t>
        </is>
      </c>
      <c r="B4" s="8" t="inlineStr">
        <is>
          <t>Layout</t>
        </is>
      </c>
      <c r="C4" s="8" t="inlineStr">
        <is>
          <t>Role</t>
        </is>
      </c>
      <c r="D4" s="8" t="inlineStr">
        <is>
          <t>Component</t>
        </is>
      </c>
      <c r="E4" s="8" t="inlineStr">
        <is>
          <t>NgRx actions dispatched</t>
        </is>
      </c>
      <c r="F4" s="8" t="inlineStr">
        <is>
          <t>Angular service methods</t>
        </is>
      </c>
      <c r="G4" s="8" t="inlineStr">
        <is>
          <t>Backend endpoints called (via gateway)</t>
        </is>
      </c>
    </row>
    <row r="5">
      <c r="A5" s="23" t="inlineStr">
        <is>
          <t>/</t>
        </is>
      </c>
      <c r="B5" s="23" t="inlineStr">
        <is>
          <t>PublicLayout</t>
        </is>
      </c>
      <c r="C5" s="23" t="inlineStr">
        <is>
          <t>Public</t>
        </is>
      </c>
      <c r="D5" s="23" t="inlineStr">
        <is>
          <t>WelcomeComponent</t>
        </is>
      </c>
      <c r="E5" s="23" t="inlineStr">
        <is>
          <t>loadProducts</t>
        </is>
      </c>
      <c r="F5" s="23" t="inlineStr">
        <is>
          <t>ProductService.getActiveProducts</t>
        </is>
      </c>
      <c r="G5" s="23" t="inlineStr">
        <is>
          <t>GET /api/products</t>
        </is>
      </c>
    </row>
    <row r="6" ht="25" customHeight="1" s="20">
      <c r="A6" s="23" t="inlineStr">
        <is>
          <t>/products</t>
        </is>
      </c>
      <c r="B6" s="23" t="inlineStr">
        <is>
          <t>PublicLayout</t>
        </is>
      </c>
      <c r="C6" s="23" t="inlineStr">
        <is>
          <t>Public</t>
        </is>
      </c>
      <c r="D6" s="23" t="inlineStr">
        <is>
          <t>PublicProductListComponent</t>
        </is>
      </c>
      <c r="E6" s="23" t="inlineStr">
        <is>
          <t>loadProducts, loadProductsByCategory</t>
        </is>
      </c>
      <c r="F6" s="23" t="inlineStr">
        <is>
          <t>ProductService.getActiveProducts, ProductService.getProductsByCategory</t>
        </is>
      </c>
      <c r="G6" s="23" t="inlineStr">
        <is>
          <t>GET /api/products
GET /api/products/category/{}</t>
        </is>
      </c>
    </row>
    <row r="7">
      <c r="A7" s="23" t="inlineStr">
        <is>
          <t>/products/:productId</t>
        </is>
      </c>
      <c r="B7" s="23" t="inlineStr">
        <is>
          <t>PublicLayout</t>
        </is>
      </c>
      <c r="C7" s="23" t="inlineStr">
        <is>
          <t>Public</t>
        </is>
      </c>
      <c r="D7" s="23" t="inlineStr">
        <is>
          <t>PublicProductDetailComponent</t>
        </is>
      </c>
      <c r="E7" s="23" t="inlineStr">
        <is>
          <t>loadProduct</t>
        </is>
      </c>
      <c r="F7" s="23" t="inlineStr">
        <is>
          <t>ProductService.getProduct</t>
        </is>
      </c>
      <c r="G7" s="23" t="inlineStr">
        <is>
          <t>GET /api/products/{}</t>
        </is>
      </c>
    </row>
    <row r="8">
      <c r="A8" s="23" t="inlineStr">
        <is>
          <t>/login</t>
        </is>
      </c>
      <c r="B8" s="23" t="inlineStr">
        <is>
          <t>AuthLayout (guestGuard)</t>
        </is>
      </c>
      <c r="C8" s="23" t="inlineStr">
        <is>
          <t>Guest</t>
        </is>
      </c>
      <c r="D8" s="23" t="inlineStr">
        <is>
          <t>LoginComponent</t>
        </is>
      </c>
      <c r="E8" s="23" t="inlineStr">
        <is>
          <t>login</t>
        </is>
      </c>
      <c r="F8" s="23" t="inlineStr">
        <is>
          <t>AuthService.login</t>
        </is>
      </c>
      <c r="G8" s="23" t="inlineStr">
        <is>
          <t>POST /api/auth/login</t>
        </is>
      </c>
    </row>
    <row r="9">
      <c r="A9" s="23" t="inlineStr">
        <is>
          <t>/register</t>
        </is>
      </c>
      <c r="B9" s="23" t="inlineStr">
        <is>
          <t>AuthLayout (guestGuard)</t>
        </is>
      </c>
      <c r="C9" s="23" t="inlineStr">
        <is>
          <t>Guest</t>
        </is>
      </c>
      <c r="D9" s="23" t="inlineStr">
        <is>
          <t>RegisterComponent</t>
        </is>
      </c>
      <c r="E9" s="23" t="inlineStr">
        <is>
          <t>register</t>
        </is>
      </c>
      <c r="F9" s="23" t="inlineStr">
        <is>
          <t>AuthService.register</t>
        </is>
      </c>
      <c r="G9" s="23" t="inlineStr">
        <is>
          <t>POST /api/auth/register</t>
        </is>
      </c>
    </row>
    <row r="10" ht="62.5" customHeight="1" s="20">
      <c r="A10" s="23" t="inlineStr">
        <is>
          <t>/customer/dashboard</t>
        </is>
      </c>
      <c r="B10" s="23" t="inlineStr">
        <is>
          <t>CustomerLayout</t>
        </is>
      </c>
      <c r="C10" s="23" t="inlineStr">
        <is>
          <t>CUSTOMER</t>
        </is>
      </c>
      <c r="D10" s="23" t="inlineStr">
        <is>
          <t>CustomerDashboardComponent</t>
        </is>
      </c>
      <c r="E10" s="23" t="inlineStr">
        <is>
          <t>loadMyClaims, loadMyPayments, loadMyPayouts, loadMyPolicies</t>
        </is>
      </c>
      <c r="F10" s="23" t="inlineStr">
        <is>
          <t>ClaimService.getMyClaims, PaymentService.getMyPayments, PayoutService.getMyPayouts, PolicyService.getMyPolicies, ProductService.getMeasurementStatus</t>
        </is>
      </c>
      <c r="G10" s="23" t="inlineStr">
        <is>
          <t>GET /api/claims/me
GET /api/financial/payments/me
GET /api/financial/payouts/me
GET /api/policies/me
GET /api/products/measurement-status</t>
        </is>
      </c>
    </row>
    <row r="11">
      <c r="A11" s="23" t="inlineStr">
        <is>
          <t>/customer/profile</t>
        </is>
      </c>
      <c r="B11" s="23" t="inlineStr">
        <is>
          <t>CustomerLayout</t>
        </is>
      </c>
      <c r="C11" s="23" t="inlineStr">
        <is>
          <t>CUSTOMER</t>
        </is>
      </c>
      <c r="D11" s="23" t="inlineStr">
        <is>
          <t>CustomerProfileComponent</t>
        </is>
      </c>
      <c r="E11" s="23" t="inlineStr">
        <is>
          <t>updateProfile</t>
        </is>
      </c>
      <c r="F11" s="23" t="inlineStr">
        <is>
          <t>UserService.getMyProfile, UserService.updateMyProfile</t>
        </is>
      </c>
      <c r="G11" s="23" t="inlineStr">
        <is>
          <t>GET /api/users/me
PUT /api/users/me</t>
        </is>
      </c>
    </row>
    <row r="12" ht="50" customHeight="1" s="20">
      <c r="A12" s="23" t="inlineStr">
        <is>
          <t>/customer/policies</t>
        </is>
      </c>
      <c r="B12" s="23" t="inlineStr">
        <is>
          <t>CustomerLayout</t>
        </is>
      </c>
      <c r="C12" s="23" t="inlineStr">
        <is>
          <t>CUSTOMER</t>
        </is>
      </c>
      <c r="D12" s="23" t="inlineStr">
        <is>
          <t>CustomerPoliciesComponent</t>
        </is>
      </c>
      <c r="E12" s="23" t="inlineStr">
        <is>
          <t>cancelPolicy, loadMyPolicies</t>
        </is>
      </c>
      <c r="F12" s="23" t="inlineStr">
        <is>
          <t>PolicyService.cancelPolicy, PolicyService.getMyPolicy, PolicyService.getMyPolicies, ZoneService.getActiveZones</t>
        </is>
      </c>
      <c r="G12" s="23" t="inlineStr">
        <is>
          <t>PUT /api/policies/{}/cancel
GET /api/policies/{}
GET /api/policies/me
GET /api/triggers/zones/active</t>
        </is>
      </c>
    </row>
    <row r="13" ht="62.5" customHeight="1" s="20">
      <c r="A13" s="23" t="inlineStr">
        <is>
          <t>/customer/policies/new</t>
        </is>
      </c>
      <c r="B13" s="23" t="inlineStr">
        <is>
          <t>CustomerLayout</t>
        </is>
      </c>
      <c r="C13" s="23" t="inlineStr">
        <is>
          <t>CUSTOMER</t>
        </is>
      </c>
      <c r="D13" s="23" t="inlineStr">
        <is>
          <t>CustomerPolicyNewComponent</t>
        </is>
      </c>
      <c r="E13" s="23" t="inlineStr">
        <is>
          <t>createCustomPolicy, createPolicy, loadProducts</t>
        </is>
      </c>
      <c r="F13" s="23" t="inlineStr">
        <is>
          <t>PolicyService.createCustomPolicy, PolicyService.createPolicy, ProductService.getActiveProducts, QuoteService.getQuote, ZoneService.getActiveZones</t>
        </is>
      </c>
      <c r="G13" s="23" t="inlineStr">
        <is>
          <t>POST /api/policies/custom
POST /api/policies
GET /api/products
GET /api/financial/quotes/{}
GET /api/triggers/zones/active</t>
        </is>
      </c>
    </row>
    <row r="14" ht="87.5" customHeight="1" s="20">
      <c r="A14" s="23" t="inlineStr">
        <is>
          <t>/customer/policies/:policyId</t>
        </is>
      </c>
      <c r="B14" s="23" t="inlineStr">
        <is>
          <t>CustomerLayout</t>
        </is>
      </c>
      <c r="C14" s="23" t="inlineStr">
        <is>
          <t>CUSTOMER</t>
        </is>
      </c>
      <c r="D14" s="23" t="inlineStr">
        <is>
          <t>CustomerPolicyDetailComponent</t>
        </is>
      </c>
      <c r="E14" s="23" t="inlineStr">
        <is>
          <t>cancelPolicy, loadMyPolicy</t>
        </is>
      </c>
      <c r="F14" s="23" t="inlineStr">
        <is>
          <t>PolicyService.cancelPolicy, PolicyService.getMyPolicy, PolicyService.downloadCertificate, PolicyService.getPolicySnapshot, PolicyService.renewPolicy, PolicyService.setAutoRenew, ZoneService.getZone</t>
        </is>
      </c>
      <c r="G14" s="23" t="inlineStr">
        <is>
          <t>PUT /api/policies/{}/cancel
GET /api/policies/{}
GET /api/policies/{}/certificate
GET /api/policies/{}/snapshot
POST /api/policies/{}/renew
PUT /api/policies/{}/auto-renew
GET /api/triggers/zones/{}</t>
        </is>
      </c>
    </row>
    <row r="15" ht="50" customHeight="1" s="20">
      <c r="A15" s="23" t="inlineStr">
        <is>
          <t>/customer/claims</t>
        </is>
      </c>
      <c r="B15" s="23" t="inlineStr">
        <is>
          <t>CustomerLayout</t>
        </is>
      </c>
      <c r="C15" s="23" t="inlineStr">
        <is>
          <t>CUSTOMER</t>
        </is>
      </c>
      <c r="D15" s="23" t="inlineStr">
        <is>
          <t>CustomerClaimsComponent</t>
        </is>
      </c>
      <c r="E15" s="23" t="inlineStr">
        <is>
          <t>cancelClaim, loadMyClaims (reloads on live CLAIM notifications)</t>
        </is>
      </c>
      <c r="F15" s="23" t="inlineStr">
        <is>
          <t>ClaimService.cancelClaim, ClaimService.getMyClaim, ClaimService.getMyClaims, ZoneService.getActiveZones</t>
        </is>
      </c>
      <c r="G15" s="23" t="inlineStr">
        <is>
          <t>PUT /api/claims/{}/cancel
GET /api/claims/{}
GET /api/claims/me
GET /api/triggers/zones/active</t>
        </is>
      </c>
    </row>
    <row r="16" ht="62.5" customHeight="1" s="20">
      <c r="A16" s="23" t="inlineStr">
        <is>
          <t>/customer/claims/new</t>
        </is>
      </c>
      <c r="B16" s="23" t="inlineStr">
        <is>
          <t>CustomerLayout</t>
        </is>
      </c>
      <c r="C16" s="23" t="inlineStr">
        <is>
          <t>CUSTOMER</t>
        </is>
      </c>
      <c r="D16" s="23" t="inlineStr">
        <is>
          <t>CustomerClaimNewComponent</t>
        </is>
      </c>
      <c r="E16" s="23" t="inlineStr">
        <is>
          <t>createClaim, loadMyPolicies</t>
        </is>
      </c>
      <c r="F16" s="23" t="inlineStr">
        <is>
          <t>ClaimService.createClaim, ClaimService.uploadDocuments, PolicyService.getMyPolicies, PolicyService.getPolicySnapshot, ZoneService.getActiveZones</t>
        </is>
      </c>
      <c r="G16" s="23" t="inlineStr">
        <is>
          <t>POST /api/claims
POST /api/claims/{}/documents
GET /api/policies/me
GET /api/policies/{}/snapshot
GET /api/triggers/zones/active</t>
        </is>
      </c>
    </row>
    <row r="17" ht="75" customHeight="1" s="20">
      <c r="A17" s="23" t="inlineStr">
        <is>
          <t>/customer/claims/:claimId</t>
        </is>
      </c>
      <c r="B17" s="23" t="inlineStr">
        <is>
          <t>CustomerLayout</t>
        </is>
      </c>
      <c r="C17" s="23" t="inlineStr">
        <is>
          <t>CUSTOMER</t>
        </is>
      </c>
      <c r="D17" s="23" t="inlineStr">
        <is>
          <t>CustomerClaimDetailComponent</t>
        </is>
      </c>
      <c r="E17" s="23" t="inlineStr">
        <is>
          <t>cancelClaim, loadMyClaim</t>
        </is>
      </c>
      <c r="F17" s="23" t="inlineStr">
        <is>
          <t>ClaimService.cancelClaim, ClaimService.getMyClaim, ClaimService.downloadMyDocument, ClaimService.getMyClaimTimeline, ClaimService.getMyDocuments, ZoneService.getZone</t>
        </is>
      </c>
      <c r="G17" s="23" t="inlineStr">
        <is>
          <t>PUT /api/claims/{}/cancel
GET /api/claims/{}
GET /api/claims/{}/documents/{}
GET /api/claims/{}/timeline
GET /api/claims/{}/documents
GET /api/triggers/zones/{}</t>
        </is>
      </c>
    </row>
    <row r="18" ht="75" customHeight="1" s="20">
      <c r="A18" s="23" t="inlineStr">
        <is>
          <t>/customer/notifications</t>
        </is>
      </c>
      <c r="B18" s="23" t="inlineStr">
        <is>
          <t>CustomerLayout</t>
        </is>
      </c>
      <c r="C18" s="23" t="inlineStr">
        <is>
          <t>CUSTOMER</t>
        </is>
      </c>
      <c r="D18" s="23" t="inlineStr">
        <is>
          <t>CustomerNotificationsComponent</t>
        </is>
      </c>
      <c r="E18" s="23" t="inlineStr">
        <is>
          <t>deleteNotification, loadNotifications, markAllAsRead, markAsRead, refreshNotifications</t>
        </is>
      </c>
      <c r="F18" s="23" t="inlineStr">
        <is>
          <t>NotificationService.deleteNotification, NotificationService.getMyNotifications, NotificationService.markAllAsRead, NotificationService.markAsRead</t>
        </is>
      </c>
      <c r="G18" s="23" t="inlineStr">
        <is>
          <t>DELETE /api/notifications/{}
GET /api/notifications/me
PUT /api/notifications/me/read-all
PUT /api/notifications/{}/read</t>
        </is>
      </c>
    </row>
    <row r="19" ht="75" customHeight="1" s="20">
      <c r="A19" s="23" t="inlineStr">
        <is>
          <t>/customer/quotes</t>
        </is>
      </c>
      <c r="B19" s="23" t="inlineStr">
        <is>
          <t>CustomerLayout</t>
        </is>
      </c>
      <c r="C19" s="23" t="inlineStr">
        <is>
          <t>CUSTOMER</t>
        </is>
      </c>
      <c r="D19" s="23" t="inlineStr">
        <is>
          <t>CustomerQuotesComponent</t>
        </is>
      </c>
      <c r="E19" s="23" t="inlineStr">
        <is>
          <t>acceptQuote, cancelQuote, createQuote, loadProducts, loadQuotes</t>
        </is>
      </c>
      <c r="F19" s="23" t="inlineStr">
        <is>
          <t>QuoteService.acceptQuote, QuoteService.cancelQuote, QuoteService.createQuote, ProductService.getActiveProducts, QuoteService.getMyQuotes, ZoneService.getActiveZones</t>
        </is>
      </c>
      <c r="G19" s="23" t="inlineStr">
        <is>
          <t>PUT /api/financial/quotes/{}/accept
PUT /api/financial/quotes/{}/cancel
POST /api/financial/quotes
GET /api/products
GET /api/financial/quotes/me
GET /api/triggers/zones/active</t>
        </is>
      </c>
    </row>
    <row r="20" ht="62.5" customHeight="1" s="20">
      <c r="A20" s="23" t="inlineStr">
        <is>
          <t>/customer/payments</t>
        </is>
      </c>
      <c r="B20" s="23" t="inlineStr">
        <is>
          <t>CustomerLayout</t>
        </is>
      </c>
      <c r="C20" s="23" t="inlineStr">
        <is>
          <t>CUSTOMER</t>
        </is>
      </c>
      <c r="D20" s="23" t="inlineStr">
        <is>
          <t>CustomerPaymentsComponent</t>
        </is>
      </c>
      <c r="E20" s="23" t="inlineStr">
        <is>
          <t>createPayment, loadMyPayments, loadMyPayouts, loadMyPolicies</t>
        </is>
      </c>
      <c r="F20" s="23" t="inlineStr">
        <is>
          <t>PaymentService.createPayment, PaymentService.getMyPayments, PayoutService.getMyPayouts, PolicyService.getMyPolicies, PayoutService.downloadReceipt</t>
        </is>
      </c>
      <c r="G20" s="23" t="inlineStr">
        <is>
          <t>POST /api/financial/payments
GET /api/financial/payments/me
GET /api/financial/payouts/me
GET /api/policies/me
GET /api/financial/payouts/{}/receipt</t>
        </is>
      </c>
    </row>
    <row r="21" ht="87.5" customHeight="1" s="20">
      <c r="A21" s="23" t="inlineStr">
        <is>
          <t>/customer/zone-map</t>
        </is>
      </c>
      <c r="B21" s="23" t="inlineStr">
        <is>
          <t>CustomerLayout</t>
        </is>
      </c>
      <c r="C21" s="23" t="inlineStr">
        <is>
          <t>CUSTOMER</t>
        </is>
      </c>
      <c r="D21" s="23" t="inlineStr">
        <is>
          <t>ZoneMapPageComponent</t>
        </is>
      </c>
      <c r="E21" s="23" t="inlineStr">
        <is>
          <t>-</t>
        </is>
      </c>
      <c r="F21" s="23" t="inlineStr">
        <is>
          <t>CurrentMeasurementService.getZoneMeasurements, PolicyService.getAllPolicies, PolicyService.getMyPolicies, ProductService.getActiveProducts, ProductService.getAdminProducts, ZoneService.getActiveZones, ZoneService.getAllZones</t>
        </is>
      </c>
      <c r="G21" s="23" t="inlineStr">
        <is>
          <t>GET /api/triggers/measurements/zones
GET /api/policies/admin/all
GET /api/policies/me
GET /api/products
GET /api/products/admin/all
GET /api/triggers/zones/active
GET /api/triggers/zones</t>
        </is>
      </c>
    </row>
    <row r="22" ht="25" customHeight="1" s="20">
      <c r="A22" s="23" t="inlineStr">
        <is>
          <t>/underwriter/dashboard</t>
        </is>
      </c>
      <c r="B22" s="23" t="inlineStr">
        <is>
          <t>UnderwriterLayout</t>
        </is>
      </c>
      <c r="C22" s="23" t="inlineStr">
        <is>
          <t>UNDERWRITER</t>
        </is>
      </c>
      <c r="D22" s="23" t="inlineStr">
        <is>
          <t>UnderwriterDashboardComponent</t>
        </is>
      </c>
      <c r="E22" s="23" t="inlineStr">
        <is>
          <t>loadAdminPolicies, loadReviewPolicies</t>
        </is>
      </c>
      <c r="F22" s="23" t="inlineStr">
        <is>
          <t>PolicyService.getAllPolicies, PolicyService.getPendingPolicies</t>
        </is>
      </c>
      <c r="G22" s="23" t="inlineStr">
        <is>
          <t>GET /api/policies/admin/all
GET /api/policies/review/pending</t>
        </is>
      </c>
    </row>
    <row r="23" ht="25" customHeight="1" s="20">
      <c r="A23" s="23" t="inlineStr">
        <is>
          <t>/underwriter/policies</t>
        </is>
      </c>
      <c r="B23" s="23" t="inlineStr">
        <is>
          <t>UnderwriterLayout</t>
        </is>
      </c>
      <c r="C23" s="23" t="inlineStr">
        <is>
          <t>UNDERWRITER</t>
        </is>
      </c>
      <c r="D23" s="23" t="inlineStr">
        <is>
          <t>UnderwriterPoliciesComponent</t>
        </is>
      </c>
      <c r="E23" s="23" t="inlineStr">
        <is>
          <t>loadReviewPolicies</t>
        </is>
      </c>
      <c r="F23" s="23" t="inlineStr">
        <is>
          <t>PolicyService.getPendingPolicies, ZoneService.getActiveZones</t>
        </is>
      </c>
      <c r="G23" s="23" t="inlineStr">
        <is>
          <t>GET /api/policies/review/pending
GET /api/triggers/zones/active</t>
        </is>
      </c>
    </row>
    <row r="24" ht="25" customHeight="1" s="20">
      <c r="A24" s="23" t="inlineStr">
        <is>
          <t>/underwriter/policies/:policyId</t>
        </is>
      </c>
      <c r="B24" s="23" t="inlineStr">
        <is>
          <t>UnderwriterLayout</t>
        </is>
      </c>
      <c r="C24" s="23" t="inlineStr">
        <is>
          <t>UNDERWRITER</t>
        </is>
      </c>
      <c r="D24" s="23" t="inlineStr">
        <is>
          <t>UnderwriterPolicyDetailComponent</t>
        </is>
      </c>
      <c r="E24" s="23" t="inlineStr">
        <is>
          <t>approvePolicy, loadAdminPolicy, rejectPolicy</t>
        </is>
      </c>
      <c r="F24" s="23" t="inlineStr">
        <is>
          <t>PolicyService.approvePolicy, PolicyService.getPolicy, PolicyService.rejectPolicy, PolicyService.getPolicySnapshot, ProductService.getProduct, UserService.getUser, ZoneService.getZone</t>
        </is>
      </c>
      <c r="G24" s="23" t="inlineStr">
        <is>
          <t>PUT /api/policies/{}/approve
GET /api/policies/admin/{}
PUT /api/policies/{}/reject
GET /api/policies/{}/snapshot
GET /api/products/{}
GET /api/users/{}
GET /api/triggers/zones/{}</t>
        </is>
      </c>
    </row>
    <row r="25" ht="87.5" customHeight="1" s="20">
      <c r="A25" s="23" t="inlineStr">
        <is>
          <t>/underwriter/notifications</t>
        </is>
      </c>
      <c r="B25" s="23" t="inlineStr">
        <is>
          <t>UnderwriterLayout</t>
        </is>
      </c>
      <c r="C25" s="23" t="inlineStr">
        <is>
          <t>UNDERWRITER</t>
        </is>
      </c>
      <c r="D25" s="23" t="inlineStr">
        <is>
          <t>StaffNotificationsComponent</t>
        </is>
      </c>
      <c r="E25" s="23" t="inlineStr">
        <is>
          <t>deleteNotification, loadNotifications, markAllAsRead, markAsRead, refreshNotifications</t>
        </is>
      </c>
      <c r="F25" s="23" t="inlineStr">
        <is>
          <t>NotificationService.deleteNotification, NotificationService.getMyNotificationsCreatedAfter, NotificationService.getMyNotifications, NotificationService.markAllAsRead, NotificationService.markAsRead</t>
        </is>
      </c>
      <c r="G25" s="23" t="inlineStr">
        <is>
          <t>DELETE /api/notifications/{}
GET /api/notifications/me
PUT /api/notifications/me/read-all
PUT /api/notifications/{}/read</t>
        </is>
      </c>
    </row>
    <row r="26" ht="50" customHeight="1" s="20">
      <c r="A26" s="23" t="inlineStr">
        <is>
          <t>/underwriter/history</t>
        </is>
      </c>
      <c r="B26" s="23" t="inlineStr">
        <is>
          <t>UnderwriterLayout</t>
        </is>
      </c>
      <c r="C26" s="23" t="inlineStr">
        <is>
          <t>UNDERWRITER</t>
        </is>
      </c>
      <c r="D26" s="23" t="inlineStr">
        <is>
          <t>UnderwriterReviewHistoryComponent</t>
        </is>
      </c>
      <c r="E26" s="23" t="inlineStr">
        <is>
          <t>-</t>
        </is>
      </c>
      <c r="F26" s="23" t="inlineStr">
        <is>
          <t>PolicyService.getReviewHistory</t>
        </is>
      </c>
      <c r="G26" s="23" t="inlineStr">
        <is>
          <t>GET /api/policies/review/history</t>
        </is>
      </c>
    </row>
    <row r="27" ht="25" customHeight="1" s="20">
      <c r="A27" s="23" t="inlineStr">
        <is>
          <t>/claims-officer/dashboard</t>
        </is>
      </c>
      <c r="B27" s="23" t="inlineStr">
        <is>
          <t>ClaimsOfficerLayout</t>
        </is>
      </c>
      <c r="C27" s="23" t="inlineStr">
        <is>
          <t>CLAIMS_OFFICER</t>
        </is>
      </c>
      <c r="D27" s="23" t="inlineStr">
        <is>
          <t>ClaimsOfficerDashboardComponent</t>
        </is>
      </c>
      <c r="E27" s="23" t="inlineStr">
        <is>
          <t>loadSubmittedClaims, loadTriggerEvents</t>
        </is>
      </c>
      <c r="F27" s="23" t="inlineStr">
        <is>
          <t>ClaimService.getSubmittedClaims, TriggerEventService.getAllEvents</t>
        </is>
      </c>
      <c r="G27" s="23" t="inlineStr">
        <is>
          <t>GET /api/claims/review/submitted
GET /api/triggers/events</t>
        </is>
      </c>
    </row>
    <row r="28">
      <c r="A28" s="23" t="inlineStr">
        <is>
          <t>/claims-officer/claims</t>
        </is>
      </c>
      <c r="B28" s="23" t="inlineStr">
        <is>
          <t>ClaimsOfficerLayout</t>
        </is>
      </c>
      <c r="C28" s="23" t="inlineStr">
        <is>
          <t>CLAIMS_OFFICER</t>
        </is>
      </c>
      <c r="D28" s="23" t="inlineStr">
        <is>
          <t>ClaimsOfficerClaimsComponent</t>
        </is>
      </c>
      <c r="E28" s="23" t="inlineStr">
        <is>
          <t>loadSubmittedClaims</t>
        </is>
      </c>
      <c r="F28" s="23" t="inlineStr">
        <is>
          <t>ClaimService.getSubmittedClaims, ZoneService.getActiveZones</t>
        </is>
      </c>
      <c r="G28" s="23" t="inlineStr">
        <is>
          <t>GET /api/claims/review/submitted
GET /api/triggers/zones/active</t>
        </is>
      </c>
    </row>
    <row r="29" ht="25" customHeight="1" s="20">
      <c r="A29" s="23" t="inlineStr">
        <is>
          <t>/claims-officer/claims/:claimId</t>
        </is>
      </c>
      <c r="B29" s="23" t="inlineStr">
        <is>
          <t>ClaimsOfficerLayout</t>
        </is>
      </c>
      <c r="C29" s="23" t="inlineStr">
        <is>
          <t>CLAIMS_OFFICER</t>
        </is>
      </c>
      <c r="D29" s="23" t="inlineStr">
        <is>
          <t>ClaimsOfficerClaimDetailComponent</t>
        </is>
      </c>
      <c r="E29" s="23" t="inlineStr">
        <is>
          <t>approveClaim, loadReviewClaim, rejectClaim, startClaimReview</t>
        </is>
      </c>
      <c r="F29" s="23" t="inlineStr">
        <is>
          <t>ClaimService.getReviewClaim, ClaimService.rejectClaim, ClaimService.startReview, ClaimService.downloadReviewDocument, ClaimService.getReviewDocuments, ProductService.getProduct, UserService.getUser, ZoneService.getZone</t>
        </is>
      </c>
      <c r="G29" s="23" t="inlineStr">
        <is>
          <t>GET /api/claims/review/{}
PUT /api/claims/{}/reject
PUT /api/claims/{}/start-review
GET /api/claims/review/{}/documents/{}
GET /api/claims/review/{}/documents
GET /api/products/{}
GET /api/users/{}
GET /api/triggers/zones/{}</t>
        </is>
      </c>
    </row>
    <row r="30" ht="25" customHeight="1" s="20">
      <c r="A30" s="23" t="inlineStr">
        <is>
          <t>/claims-officer/notifications</t>
        </is>
      </c>
      <c r="B30" s="23" t="inlineStr">
        <is>
          <t>ClaimsOfficerLayout</t>
        </is>
      </c>
      <c r="C30" s="23" t="inlineStr">
        <is>
          <t>CLAIMS_OFFICER</t>
        </is>
      </c>
      <c r="D30" s="23" t="inlineStr">
        <is>
          <t>StaffNotificationsComponent</t>
        </is>
      </c>
      <c r="E30" s="23" t="inlineStr">
        <is>
          <t>deleteNotification, loadNotifications, markAllAsRead, markAsRead, refreshNotifications</t>
        </is>
      </c>
      <c r="F30" s="23" t="inlineStr">
        <is>
          <t>NotificationService.deleteNotification, NotificationService.getMyNotificationsCreatedAfter, NotificationService.getMyNotifications, NotificationService.markAllAsRead, NotificationService.markAsRead</t>
        </is>
      </c>
      <c r="G30" s="23" t="inlineStr">
        <is>
          <t>DELETE /api/notifications/{}
GET /api/notifications/me
PUT /api/notifications/me/read-all
PUT /api/notifications/{}/read</t>
        </is>
      </c>
    </row>
    <row r="31" ht="100" customHeight="1" s="20">
      <c r="A31" s="23" t="inlineStr">
        <is>
          <t>/claims-officer/history</t>
        </is>
      </c>
      <c r="B31" s="23" t="inlineStr">
        <is>
          <t>ClaimsOfficerLayout</t>
        </is>
      </c>
      <c r="C31" s="23" t="inlineStr">
        <is>
          <t>CLAIMS_OFFICER</t>
        </is>
      </c>
      <c r="D31" s="23" t="inlineStr">
        <is>
          <t>ClaimsOfficerReviewHistoryComponent</t>
        </is>
      </c>
      <c r="E31" s="23" t="inlineStr">
        <is>
          <t>-</t>
        </is>
      </c>
      <c r="F31" s="23" t="inlineStr">
        <is>
          <t>ClaimService.getReviewHistory</t>
        </is>
      </c>
      <c r="G31" s="23" t="inlineStr">
        <is>
          <t>GET /api/claims/review/history</t>
        </is>
      </c>
    </row>
    <row r="32" ht="50" customHeight="1" s="20">
      <c r="A32" s="23" t="inlineStr">
        <is>
          <t>/admin/dashboard</t>
        </is>
      </c>
      <c r="B32" s="23" t="inlineStr">
        <is>
          <t>AdminLayout</t>
        </is>
      </c>
      <c r="C32" s="23" t="inlineStr">
        <is>
          <t>ADMIN</t>
        </is>
      </c>
      <c r="D32" s="23" t="inlineStr">
        <is>
          <t>AdminDashboardComponent</t>
        </is>
      </c>
      <c r="E32" s="23" t="inlineStr">
        <is>
          <t>loadAdminPolicies, loadAdminProducts, loadPayouts, loadUsers</t>
        </is>
      </c>
      <c r="F32" s="23" t="inlineStr">
        <is>
          <t>PolicyService.getAllPolicies, ProductService.getAdminProducts, PayoutService.getAllPayouts, UserService.getAllUsers</t>
        </is>
      </c>
      <c r="G32" s="23" t="inlineStr">
        <is>
          <t>GET /api/policies/admin/all
GET /api/products/admin/all
GET /api/financial/payouts/admin/all
GET /api/users</t>
        </is>
      </c>
    </row>
    <row r="33" ht="25" customHeight="1" s="20">
      <c r="A33" s="23" t="inlineStr">
        <is>
          <t>/admin/products</t>
        </is>
      </c>
      <c r="B33" s="23" t="inlineStr">
        <is>
          <t>AdminLayout</t>
        </is>
      </c>
      <c r="C33" s="23" t="inlineStr">
        <is>
          <t>ADMIN</t>
        </is>
      </c>
      <c r="D33" s="23" t="inlineStr">
        <is>
          <t>AdminProductsComponent</t>
        </is>
      </c>
      <c r="E33" s="23" t="inlineStr">
        <is>
          <t>deleteProduct, loadAdminProducts, updateProductStatus</t>
        </is>
      </c>
      <c r="F33" s="23" t="inlineStr">
        <is>
          <t>ProductService.deleteProduct, ProductService.getAdminProducts, ProductService.updateProductStatus</t>
        </is>
      </c>
      <c r="G33" s="23" t="inlineStr">
        <is>
          <t>DELETE /api/products/{}
GET /api/products/admin/all
PUT /api/products/{}/status</t>
        </is>
      </c>
    </row>
    <row r="34" ht="25" customHeight="1" s="20">
      <c r="A34" s="23" t="inlineStr">
        <is>
          <t>/admin/products/new</t>
        </is>
      </c>
      <c r="B34" s="23" t="inlineStr">
        <is>
          <t>AdminLayout</t>
        </is>
      </c>
      <c r="C34" s="23" t="inlineStr">
        <is>
          <t>ADMIN</t>
        </is>
      </c>
      <c r="D34" s="23" t="inlineStr">
        <is>
          <t>AdminProductNewComponent</t>
        </is>
      </c>
      <c r="E34" s="23" t="inlineStr">
        <is>
          <t>createProduct</t>
        </is>
      </c>
      <c r="F34" s="23" t="inlineStr">
        <is>
          <t>ProductService.createProduct</t>
        </is>
      </c>
      <c r="G34" s="23" t="inlineStr">
        <is>
          <t>POST /api/products</t>
        </is>
      </c>
    </row>
    <row r="35" ht="50" customHeight="1" s="20">
      <c r="A35" s="23" t="inlineStr">
        <is>
          <t>/admin/products/:productId</t>
        </is>
      </c>
      <c r="B35" s="23" t="inlineStr">
        <is>
          <t>AdminLayout</t>
        </is>
      </c>
      <c r="C35" s="23" t="inlineStr">
        <is>
          <t>ADMIN</t>
        </is>
      </c>
      <c r="D35" s="23" t="inlineStr">
        <is>
          <t>AdminProductEditComponent</t>
        </is>
      </c>
      <c r="E35" s="23" t="inlineStr">
        <is>
          <t>loadAdminProduct, updateProduct</t>
        </is>
      </c>
      <c r="F35" s="23" t="inlineStr">
        <is>
          <t>ProductService.getAdminProduct, ProductService.updateProduct</t>
        </is>
      </c>
      <c r="G35" s="23" t="inlineStr">
        <is>
          <t>GET /api/products/admin/{}
PUT /api/products/{}</t>
        </is>
      </c>
    </row>
    <row r="36" ht="37.5" customHeight="1" s="20">
      <c r="A36" s="23" t="inlineStr">
        <is>
          <t>/admin/product-thresholds</t>
        </is>
      </c>
      <c r="B36" s="23" t="inlineStr">
        <is>
          <t>AdminLayout</t>
        </is>
      </c>
      <c r="C36" s="23" t="inlineStr">
        <is>
          <t>ADMIN</t>
        </is>
      </c>
      <c r="D36" s="23" t="inlineStr">
        <is>
          <t>AdminProductThresholdsComponent</t>
        </is>
      </c>
      <c r="E36" s="23" t="inlineStr">
        <is>
          <t>loadAdminProducts</t>
        </is>
      </c>
      <c r="F36" s="23" t="inlineStr">
        <is>
          <t>ProductService.getAdminProducts</t>
        </is>
      </c>
      <c r="G36" s="23" t="inlineStr">
        <is>
          <t>GET /api/products/admin/all</t>
        </is>
      </c>
    </row>
    <row r="37">
      <c r="A37" s="23" t="inlineStr">
        <is>
          <t>/admin/products/:productId/threshold</t>
        </is>
      </c>
      <c r="B37" s="23" t="inlineStr">
        <is>
          <t>AdminLayout</t>
        </is>
      </c>
      <c r="C37" s="23" t="inlineStr">
        <is>
          <t>ADMIN</t>
        </is>
      </c>
      <c r="D37" s="23" t="inlineStr">
        <is>
          <t>AdminProductThresholdComponent</t>
        </is>
      </c>
      <c r="E37" s="23" t="inlineStr">
        <is>
          <t>loadAdminProduct, loadProductThresholdHistory, updateProductThreshold</t>
        </is>
      </c>
      <c r="F37" s="23" t="inlineStr">
        <is>
          <t>ProductService.getAdminProduct, ProductService.getThresholdHistory, ProductService.updateThreshold</t>
        </is>
      </c>
      <c r="G37" s="23" t="inlineStr">
        <is>
          <t>GET /api/products/admin/{}
GET /api/products/admin/{}/threshold-history
PUT /api/products/admin/{}/threshold</t>
        </is>
      </c>
    </row>
    <row r="38" ht="25" customHeight="1" s="20">
      <c r="A38" s="23" t="inlineStr">
        <is>
          <t>/admin/users</t>
        </is>
      </c>
      <c r="B38" s="23" t="inlineStr">
        <is>
          <t>AdminLayout</t>
        </is>
      </c>
      <c r="C38" s="23" t="inlineStr">
        <is>
          <t>ADMIN</t>
        </is>
      </c>
      <c r="D38" s="23" t="inlineStr">
        <is>
          <t>AdminUsersComponent</t>
        </is>
      </c>
      <c r="E38" s="23" t="inlineStr">
        <is>
          <t>loadUsers, updateUserStatus</t>
        </is>
      </c>
      <c r="F38" s="23" t="inlineStr">
        <is>
          <t>UserService.getAllUsers, UserService.updateUserStatus</t>
        </is>
      </c>
      <c r="G38" s="23" t="inlineStr">
        <is>
          <t>GET /api/users
PUT /api/users/{}/status</t>
        </is>
      </c>
    </row>
    <row r="39">
      <c r="A39" s="23" t="inlineStr">
        <is>
          <t>/admin/users/:userId</t>
        </is>
      </c>
      <c r="B39" s="23" t="inlineStr">
        <is>
          <t>AdminLayout</t>
        </is>
      </c>
      <c r="C39" s="23" t="inlineStr">
        <is>
          <t>ADMIN</t>
        </is>
      </c>
      <c r="D39" s="23" t="inlineStr">
        <is>
          <t>AdminUserDetailComponent</t>
        </is>
      </c>
      <c r="E39" s="23" t="inlineStr">
        <is>
          <t>-</t>
        </is>
      </c>
      <c r="F39" s="23" t="inlineStr">
        <is>
          <t>ClaimService.getAllClaims, PolicyService.getAllPolicies, UserService.getUser, ZoneService.getAllZones</t>
        </is>
      </c>
      <c r="G39" s="23" t="inlineStr">
        <is>
          <t>GET /api/claims/admin/all
GET /api/policies/admin/all
GET /api/users/{}
GET /api/triggers/zones</t>
        </is>
      </c>
    </row>
    <row r="40" ht="37.5" customHeight="1" s="20">
      <c r="A40" s="23" t="inlineStr">
        <is>
          <t>/admin/policies</t>
        </is>
      </c>
      <c r="B40" s="23" t="inlineStr">
        <is>
          <t>AdminLayout</t>
        </is>
      </c>
      <c r="C40" s="23" t="inlineStr">
        <is>
          <t>ADMIN</t>
        </is>
      </c>
      <c r="D40" s="23" t="inlineStr">
        <is>
          <t>AdminPoliciesComponent</t>
        </is>
      </c>
      <c r="E40" s="23" t="inlineStr">
        <is>
          <t>loadAdminPolicies</t>
        </is>
      </c>
      <c r="F40" s="23" t="inlineStr">
        <is>
          <t>PolicyService.getAllPolicies, ZoneService.getAllZones</t>
        </is>
      </c>
      <c r="G40" s="23" t="inlineStr">
        <is>
          <t>GET /api/policies/admin/all
GET /api/triggers/zones</t>
        </is>
      </c>
    </row>
    <row r="41" ht="25" customHeight="1" s="20">
      <c r="A41" s="23" t="inlineStr">
        <is>
          <t>/admin/policies/:policyId</t>
        </is>
      </c>
      <c r="B41" s="23" t="inlineStr">
        <is>
          <t>AdminLayout</t>
        </is>
      </c>
      <c r="C41" s="23" t="inlineStr">
        <is>
          <t>ADMIN</t>
        </is>
      </c>
      <c r="D41" s="23" t="inlineStr">
        <is>
          <t>AdminPolicyDetailComponent</t>
        </is>
      </c>
      <c r="E41" s="23" t="inlineStr">
        <is>
          <t>loadAdminPolicy</t>
        </is>
      </c>
      <c r="F41" s="23" t="inlineStr">
        <is>
          <t>PolicyService.getPolicy, PolicyService.downloadAdminCertificate, PolicyService.getPolicySnapshot, UserService.getUser, ZoneService.getZone</t>
        </is>
      </c>
      <c r="G41" s="23" t="inlineStr">
        <is>
          <t>GET /api/policies/admin/{}
GET /api/policies/admin/{}/certificate
GET /api/policies/{}/snapshot
GET /api/users/{}
GET /api/triggers/zones/{}</t>
        </is>
      </c>
    </row>
    <row r="42" ht="50" customHeight="1" s="20">
      <c r="A42" s="23" t="inlineStr">
        <is>
          <t>/admin/claims</t>
        </is>
      </c>
      <c r="B42" s="23" t="inlineStr">
        <is>
          <t>AdminLayout</t>
        </is>
      </c>
      <c r="C42" s="23" t="inlineStr">
        <is>
          <t>ADMIN</t>
        </is>
      </c>
      <c r="D42" s="23" t="inlineStr">
        <is>
          <t>AdminClaimsComponent</t>
        </is>
      </c>
      <c r="E42" s="23" t="inlineStr">
        <is>
          <t>loadAdminClaims</t>
        </is>
      </c>
      <c r="F42" s="23" t="inlineStr">
        <is>
          <t>ClaimService.getAllClaims, ZoneService.getAllZones</t>
        </is>
      </c>
      <c r="G42" s="23" t="inlineStr">
        <is>
          <t>GET /api/claims/admin/all
GET /api/triggers/zones</t>
        </is>
      </c>
    </row>
    <row r="43" ht="25" customHeight="1" s="20">
      <c r="A43" s="23" t="inlineStr">
        <is>
          <t>/admin/claims/:claimId</t>
        </is>
      </c>
      <c r="B43" s="23" t="inlineStr">
        <is>
          <t>AdminLayout</t>
        </is>
      </c>
      <c r="C43" s="23" t="inlineStr">
        <is>
          <t>ADMIN</t>
        </is>
      </c>
      <c r="D43" s="23" t="inlineStr">
        <is>
          <t>AdminClaimDetailComponent</t>
        </is>
      </c>
      <c r="E43" s="23" t="inlineStr">
        <is>
          <t>loadAdminClaim</t>
        </is>
      </c>
      <c r="F43" s="23" t="inlineStr">
        <is>
          <t>ClaimService.getAdminClaim, ClaimService.getAdminClaimTimeline, ClaimService.getReviewDocuments, PolicyService.getPolicy, UserService.getUser, ZoneService.getZone</t>
        </is>
      </c>
      <c r="G43" s="23" t="inlineStr">
        <is>
          <t>GET /api/claims/admin/{}
GET /api/claims/admin/{}/timeline
GET /api/claims/review/{}/documents
GET /api/policies/admin/{}
GET /api/users/{}
GET /api/triggers/zones/{}</t>
        </is>
      </c>
    </row>
    <row r="44" ht="62.5" customHeight="1" s="20">
      <c r="A44" s="23" t="inlineStr">
        <is>
          <t>/admin/perils</t>
        </is>
      </c>
      <c r="B44" s="23" t="inlineStr">
        <is>
          <t>AdminLayout</t>
        </is>
      </c>
      <c r="C44" s="23" t="inlineStr">
        <is>
          <t>ADMIN</t>
        </is>
      </c>
      <c r="D44" s="23" t="inlineStr">
        <is>
          <t>AdminPerilsComponent</t>
        </is>
      </c>
      <c r="E44" s="23" t="inlineStr">
        <is>
          <t>archivePeril, createPeril, loadPerils, updatePeril, updatePerilStatus</t>
        </is>
      </c>
      <c r="F44" s="23" t="inlineStr">
        <is>
          <t>PerilService.archivePeril, PerilService.createPeril, PerilService.getAllPerils, PerilService.updatePeril, PerilService.updatePerilStatus</t>
        </is>
      </c>
      <c r="G44" s="23" t="inlineStr">
        <is>
          <t>DELETE /api/triggers/perils/{}
POST /api/triggers/perils
GET /api/triggers/perils
PUT /api/triggers/perils/{}
PUT /api/triggers/perils/{}/status</t>
        </is>
      </c>
    </row>
    <row r="45" ht="25" customHeight="1" s="20">
      <c r="A45" s="23" t="inlineStr">
        <is>
          <t>/admin/zones</t>
        </is>
      </c>
      <c r="B45" s="23" t="inlineStr">
        <is>
          <t>AdminLayout</t>
        </is>
      </c>
      <c r="C45" s="23" t="inlineStr">
        <is>
          <t>ADMIN</t>
        </is>
      </c>
      <c r="D45" s="23" t="inlineStr">
        <is>
          <t>AdminZonesComponent</t>
        </is>
      </c>
      <c r="E45" s="23" t="inlineStr">
        <is>
          <t>archiveZone, createZone, loadZones, updateZone, updateZoneStatus</t>
        </is>
      </c>
      <c r="F45" s="23" t="inlineStr">
        <is>
          <t>ZoneService.archiveZone, ZoneService.createZone, ZoneService.getAllZones, ZoneService.updateZone, ZoneService.updateZoneStatus</t>
        </is>
      </c>
      <c r="G45" s="23" t="inlineStr">
        <is>
          <t>DELETE /api/triggers/zones/{}
POST /api/triggers/zones
GET /api/triggers/zones
PUT /api/triggers/zones/{}
PUT /api/triggers/zones/{}/status</t>
        </is>
      </c>
    </row>
    <row r="46" ht="75" customHeight="1" s="20">
      <c r="A46" s="23" t="inlineStr">
        <is>
          <t>/admin/current-measurements</t>
        </is>
      </c>
      <c r="B46" s="23" t="inlineStr">
        <is>
          <t>AdminLayout</t>
        </is>
      </c>
      <c r="C46" s="23" t="inlineStr">
        <is>
          <t>ADMIN</t>
        </is>
      </c>
      <c r="D46" s="23" t="inlineStr">
        <is>
          <t>AdminCurrentMeasurementsComponent</t>
        </is>
      </c>
      <c r="E46" s="23" t="inlineStr">
        <is>
          <t>-</t>
        </is>
      </c>
      <c r="F46" s="23" t="inlineStr">
        <is>
          <t>CurrentMeasurementService.getCurrentMeasurements, CurrentMeasurementService.process, ProductService.getAdminMeasurementStatus, ProductService.getAdminProducts, ZoneService.getActiveZones</t>
        </is>
      </c>
      <c r="G46" s="23" t="inlineStr">
        <is>
          <t>GET /api/triggers/current-measurements
PUT /api/triggers/current-measurements
GET /api/products/admin/measurement-status
GET /api/products/admin/all
GET /api/triggers/zones/active</t>
        </is>
      </c>
    </row>
    <row r="47" ht="62.5" customHeight="1" s="20">
      <c r="A47" s="23" t="inlineStr">
        <is>
          <t>/admin/pricing-rules</t>
        </is>
      </c>
      <c r="B47" s="23" t="inlineStr">
        <is>
          <t>AdminLayout</t>
        </is>
      </c>
      <c r="C47" s="23" t="inlineStr">
        <is>
          <t>ADMIN</t>
        </is>
      </c>
      <c r="D47" s="23" t="inlineStr">
        <is>
          <t>AdminPricingRulesComponent</t>
        </is>
      </c>
      <c r="E47" s="23" t="inlineStr">
        <is>
          <t>archivePricingRule, createPricingRule, loadAdminProducts, loadPricingRules, loadZones, updatePricingRule, updatePricingRuleStatus</t>
        </is>
      </c>
      <c r="F47" s="23" t="inlineStr">
        <is>
          <t>PricingRuleService.archiveRule, PricingRuleService.createRule, ProductService.getAdminProducts, PricingRuleService.getAllRules, ZoneService.getAllZones, PricingRuleService.updateRule, PricingRuleService.updateStatus</t>
        </is>
      </c>
      <c r="G47" s="23" t="inlineStr">
        <is>
          <t>DELETE /api/financial/pricing-rules/{}
POST /api/financial/pricing-rules
GET /api/products/admin/all
GET /api/financial/pricing-rules
GET /api/triggers/zones
PUT /api/financial/pricing-rules/{}
PUT /api/financial/pricing-rules/{}/status</t>
        </is>
      </c>
    </row>
    <row r="48" ht="62.5" customHeight="1" s="20">
      <c r="A48" s="23" t="inlineStr">
        <is>
          <t>/admin/payments</t>
        </is>
      </c>
      <c r="B48" s="23" t="inlineStr">
        <is>
          <t>AdminLayout</t>
        </is>
      </c>
      <c r="C48" s="23" t="inlineStr">
        <is>
          <t>ADMIN</t>
        </is>
      </c>
      <c r="D48" s="23" t="inlineStr">
        <is>
          <t>AdminPaymentsComponent</t>
        </is>
      </c>
      <c r="E48" s="23" t="inlineStr">
        <is>
          <t>loadPayments, refundPayment</t>
        </is>
      </c>
      <c r="F48" s="23" t="inlineStr">
        <is>
          <t>PaymentService.getAllPayments, PaymentService.refundPayment</t>
        </is>
      </c>
      <c r="G48" s="23" t="inlineStr">
        <is>
          <t>GET /api/financial/payments/admin/all
PUT /api/financial/payments/{}/refund</t>
        </is>
      </c>
    </row>
    <row r="49" ht="62.5" customHeight="1" s="20">
      <c r="A49" s="23" t="inlineStr">
        <is>
          <t>/admin/payouts</t>
        </is>
      </c>
      <c r="B49" s="23" t="inlineStr">
        <is>
          <t>AdminLayout</t>
        </is>
      </c>
      <c r="C49" s="23" t="inlineStr">
        <is>
          <t>ADMIN</t>
        </is>
      </c>
      <c r="D49" s="23" t="inlineStr">
        <is>
          <t>AdminPayoutsComponent</t>
        </is>
      </c>
      <c r="E49" s="23" t="inlineStr">
        <is>
          <t>loadPayouts, markPayoutFail, markPayoutSuccess, processPayout, retryPayout</t>
        </is>
      </c>
      <c r="F49" s="23" t="inlineStr">
        <is>
          <t>PayoutService.getAllPayouts, PayoutService.markFail, PayoutService.markSuccess, PayoutService.processPayout, PayoutService.retryPayout, PayoutService.downloadAdminReceipt</t>
        </is>
      </c>
      <c r="G49" s="23" t="inlineStr">
        <is>
          <t>GET /api/financial/payouts/admin/all
PUT /api/financial/payouts/{}/retry
GET /api/financial/payouts/admin/{}/receipt</t>
        </is>
      </c>
    </row>
    <row r="50" ht="87.5" customHeight="1" s="20">
      <c r="A50" s="23" t="inlineStr">
        <is>
          <t>/admin/trigger-events</t>
        </is>
      </c>
      <c r="B50" s="23" t="inlineStr">
        <is>
          <t>AdminLayout</t>
        </is>
      </c>
      <c r="C50" s="23" t="inlineStr">
        <is>
          <t>ADMIN</t>
        </is>
      </c>
      <c r="D50" s="23" t="inlineStr">
        <is>
          <t>AdminTriggerEventsComponent</t>
        </is>
      </c>
      <c r="E50" s="23" t="inlineStr">
        <is>
          <t>loadTriggerEvents</t>
        </is>
      </c>
      <c r="F50" s="23" t="inlineStr">
        <is>
          <t>TriggerEventService.getAllEvents</t>
        </is>
      </c>
      <c r="G50" s="23" t="inlineStr">
        <is>
          <t>GET /api/triggers/events</t>
        </is>
      </c>
    </row>
    <row r="51" ht="50" customHeight="1" s="20">
      <c r="A51" s="23" t="inlineStr">
        <is>
          <t>/admin/zone-map</t>
        </is>
      </c>
      <c r="B51" s="23" t="inlineStr">
        <is>
          <t>AdminLayout</t>
        </is>
      </c>
      <c r="C51" s="23" t="inlineStr">
        <is>
          <t>ADMIN</t>
        </is>
      </c>
      <c r="D51" s="23" t="inlineStr">
        <is>
          <t>ZoneMapPageComponent</t>
        </is>
      </c>
      <c r="E51" s="23" t="inlineStr">
        <is>
          <t>-</t>
        </is>
      </c>
      <c r="F51" s="23" t="inlineStr">
        <is>
          <t>CurrentMeasurementService.getZoneMeasurements, PolicyService.getAllPolicies, PolicyService.getMyPolicies, ProductService.getActiveProducts, ProductService.getAdminProducts, ZoneService.getActiveZones, ZoneService.getAllZones</t>
        </is>
      </c>
      <c r="G51" s="23" t="inlineStr">
        <is>
          <t>GET /api/triggers/measurements/zones
GET /api/policies/admin/all
GET /api/policies/me
GET /api/products
GET /api/products/admin/all
GET /api/triggers/zones/active
GET /api/triggers/zones</t>
        </is>
      </c>
    </row>
    <row r="52" ht="75" customHeight="1" s="20">
      <c r="A52" s="23" t="inlineStr">
        <is>
          <t>/admin/notifications</t>
        </is>
      </c>
      <c r="B52" s="23" t="inlineStr">
        <is>
          <t>AdminLayout</t>
        </is>
      </c>
      <c r="C52" s="23" t="inlineStr">
        <is>
          <t>ADMIN</t>
        </is>
      </c>
      <c r="D52" s="23" t="inlineStr">
        <is>
          <t>AdminNotificationsComponent</t>
        </is>
      </c>
      <c r="E52" s="23" t="inlineStr">
        <is>
          <t>loadAllNotifications, loadUnreadCount</t>
        </is>
      </c>
      <c r="F52" s="23" t="inlineStr">
        <is>
          <t>NotificationService.getAllNotifications, NotificationService.getUnreadCount, NotificationService.adminDelete, NotificationService.adminMarkAsRead</t>
        </is>
      </c>
      <c r="G52" s="23" t="inlineStr">
        <is>
          <t>GET /api/notifications/admin/all
GET /api/notifications/me/unread-count
DELETE /api/notifications/admin/{}
PUT /api/notifications/admin/{}/read</t>
        </is>
      </c>
    </row>
    <row r="53">
      <c r="A53" s="23" t="inlineStr">
        <is>
          <t>/admin/profile</t>
        </is>
      </c>
      <c r="B53" s="23" t="inlineStr">
        <is>
          <t>AdminLayout</t>
        </is>
      </c>
      <c r="C53" s="23" t="inlineStr">
        <is>
          <t>ADMIN</t>
        </is>
      </c>
      <c r="D53" s="23" t="inlineStr">
        <is>
          <t>StaffProfileComponent</t>
        </is>
      </c>
      <c r="E53" s="23" t="inlineStr">
        <is>
          <t>-</t>
        </is>
      </c>
      <c r="F53" s="23" t="inlineStr">
        <is>
          <t>UserService.getMyProfile, UserService.updateMyProfile</t>
        </is>
      </c>
      <c r="G53" s="23" t="inlineStr">
        <is>
          <t>GET /api/users/me
PUT /api/users/me</t>
        </is>
      </c>
    </row>
    <row r="54" ht="87.5" customHeight="1" s="20">
      <c r="A54" s="23" t="inlineStr">
        <is>
          <t>/underwriter/profile</t>
        </is>
      </c>
      <c r="B54" s="23" t="inlineStr">
        <is>
          <t>UnderwriterLayout</t>
        </is>
      </c>
      <c r="C54" s="23" t="inlineStr">
        <is>
          <t>UNDERWRITER</t>
        </is>
      </c>
      <c r="D54" s="23" t="inlineStr">
        <is>
          <t>StaffProfileComponent</t>
        </is>
      </c>
      <c r="E54" s="23" t="inlineStr">
        <is>
          <t>-</t>
        </is>
      </c>
      <c r="F54" s="23" t="inlineStr">
        <is>
          <t>UserService.getMyProfile, UserService.updateMyProfile</t>
        </is>
      </c>
      <c r="G54" s="23" t="inlineStr">
        <is>
          <t>GET /api/users/me
PUT /api/users/me</t>
        </is>
      </c>
    </row>
    <row r="55" ht="50" customHeight="1" s="20">
      <c r="A55" s="23" t="inlineStr">
        <is>
          <t>/claims-officer/profile</t>
        </is>
      </c>
      <c r="B55" s="23" t="inlineStr">
        <is>
          <t>ClaimsOfficerLayout</t>
        </is>
      </c>
      <c r="C55" s="23" t="inlineStr">
        <is>
          <t>CLAIMS_OFFICER</t>
        </is>
      </c>
      <c r="D55" s="23" t="inlineStr">
        <is>
          <t>StaffProfileComponent</t>
        </is>
      </c>
      <c r="E55" s="23" t="inlineStr">
        <is>
          <t>-</t>
        </is>
      </c>
      <c r="F55" s="23" t="inlineStr">
        <is>
          <t>UserService.getMyProfile, UserService.updateMyProfile</t>
        </is>
      </c>
      <c r="G55" s="23" t="inlineStr">
        <is>
          <t>GET /api/users/me
PUT /api/users/me</t>
        </is>
      </c>
    </row>
    <row r="56" ht="25" customHeight="1" s="20">
      <c r="A56" s="23" t="inlineStr">
        <is>
          <t>/admin/zone-exposure</t>
        </is>
      </c>
      <c r="B56" s="23" t="inlineStr">
        <is>
          <t>AdminLayout</t>
        </is>
      </c>
      <c r="C56" s="23" t="inlineStr">
        <is>
          <t>ADMIN</t>
        </is>
      </c>
      <c r="D56" s="23" t="inlineStr">
        <is>
          <t>AdminZoneExposureComponent</t>
        </is>
      </c>
      <c r="E56" s="23" t="inlineStr">
        <is>
          <t>-</t>
        </is>
      </c>
      <c r="F56" s="23" t="inlineStr">
        <is>
          <t>ZoneService.getZoneExposure, ZoneService.updateExposureCap</t>
        </is>
      </c>
      <c r="G56" s="23" t="inlineStr">
        <is>
          <t>GET /api/policies/admin/zone-exposure
PUT /api/triggers/zones/{}/exposure-cap</t>
        </is>
      </c>
    </row>
    <row r="57" ht="25" customHeight="1" s="20">
      <c r="A57" s="33" t="n"/>
      <c r="B57" s="33" t="n"/>
      <c r="C57" s="33" t="n"/>
      <c r="D57" s="33" t="n"/>
      <c r="E57" s="33" t="n"/>
      <c r="F57" s="33" t="n"/>
      <c r="G57" s="3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2E75B6"/>
    <outlinePr summaryBelow="1" summaryRight="1"/>
    <pageSetUpPr/>
  </sheetPr>
  <dimension ref="A1:P19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UJ-01  Customer Registration, Login &amp; Logout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Customer (guest)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Create an account, sign in, keep the session alive with token refresh and sign out.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Guest clicks Register / Login on the public site.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Auth-Svc running; ROLE_CUSTOMER seeded; Eureka + Gateway up.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User has access + refresh JWT stored in the browser; session row exists.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API Gateway, Auth-Svc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AUTH-SERVICE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50" customHeight="1" s="20">
      <c r="A13" s="23" t="inlineStr">
        <is>
          <t>1</t>
        </is>
      </c>
      <c r="B13" s="23" t="inlineStr">
        <is>
          <t>Customer</t>
        </is>
      </c>
      <c r="C13" s="23" t="inlineStr">
        <is>
          <t>/register (RegisterComponent)</t>
        </is>
      </c>
      <c r="D13" s="23" t="inlineStr">
        <is>
          <t>Fills name, email, password, phone and submits</t>
        </is>
      </c>
      <c r="E13" s="23" t="inlineStr">
        <is>
          <t>register() -&gt; AuthEffects.register$ -&gt; AuthService.register()</t>
        </is>
      </c>
      <c r="F13" s="13" t="inlineStr">
        <is>
          <t>POST</t>
        </is>
      </c>
      <c r="G13" s="23" t="inlineStr">
        <is>
          <t>/api/auth/register</t>
        </is>
      </c>
      <c r="H13" s="23" t="inlineStr">
        <is>
          <t>AUTH-SERVICE :8081</t>
        </is>
      </c>
      <c r="I13" s="23" t="inlineStr">
        <is>
          <t>AuthHandler.register</t>
        </is>
      </c>
      <c r="J13" s="23" t="inlineStr">
        <is>
          <t>AuthService.register()</t>
        </is>
      </c>
      <c r="K13" s="23" t="inlineStr">
        <is>
          <t>Email normalised &amp; must be unique (409 otherwise); password BCrypt-hashed; role ROLE_CUSTOMER assigned; initial profile created.</t>
        </is>
      </c>
      <c r="L13" s="23" t="inlineStr">
        <is>
          <t>-</t>
        </is>
      </c>
      <c r="M13" s="23" t="inlineStr">
        <is>
          <t>users_credentials, user_profiles, sessions, refresh_tokens</t>
        </is>
      </c>
      <c r="N13" s="23" t="inlineStr">
        <is>
          <t>User: ACTIVE</t>
        </is>
      </c>
      <c r="O13" s="23" t="inlineStr">
        <is>
          <t>-</t>
        </is>
      </c>
      <c r="P13" s="23" t="inlineStr">
        <is>
          <t>AuthResponse {accessToken, refreshToken, user}; tokens saved by TokenStorageService; redirect to /customer/dashboard</t>
        </is>
      </c>
    </row>
    <row r="14" ht="37.5" customHeight="1" s="20">
      <c r="A14" s="23" t="inlineStr">
        <is>
          <t>2</t>
        </is>
      </c>
      <c r="B14" s="23" t="inlineStr">
        <is>
          <t>Customer</t>
        </is>
      </c>
      <c r="C14" s="23" t="inlineStr">
        <is>
          <t>/login (LoginComponent)</t>
        </is>
      </c>
      <c r="D14" s="23" t="inlineStr">
        <is>
          <t>Enters email + password</t>
        </is>
      </c>
      <c r="E14" s="23" t="inlineStr">
        <is>
          <t>login() -&gt; AuthEffects.login$ -&gt; AuthService.login()</t>
        </is>
      </c>
      <c r="F14" s="13" t="inlineStr">
        <is>
          <t>POST</t>
        </is>
      </c>
      <c r="G14" s="23" t="inlineStr">
        <is>
          <t>/api/auth/login</t>
        </is>
      </c>
      <c r="H14" s="23" t="inlineStr">
        <is>
          <t>AUTH-SERVICE</t>
        </is>
      </c>
      <c r="I14" s="23" t="inlineStr">
        <is>
          <t>AuthHandler.login</t>
        </is>
      </c>
      <c r="J14" s="23" t="inlineStr">
        <is>
          <t>AuthService.login()</t>
        </is>
      </c>
      <c r="K14" s="23" t="inlineStr">
        <is>
          <t>Invalid email/password -&gt; 401; SUSPENDED/INACTIVE users blocked (message only after a correct password).</t>
        </is>
      </c>
      <c r="L14" s="23" t="inlineStr">
        <is>
          <t>-</t>
        </is>
      </c>
      <c r="M14" s="23" t="inlineStr">
        <is>
          <t>sessions, refresh_tokens</t>
        </is>
      </c>
      <c r="N14" s="23" t="inlineStr">
        <is>
          <t>-</t>
        </is>
      </c>
      <c r="O14" s="23" t="inlineStr">
        <is>
          <t>-</t>
        </is>
      </c>
      <c r="P14" s="23" t="inlineStr">
        <is>
          <t>JWT (claims: userId, email, role, customerId) stored; roleGuard routes to role dashboard</t>
        </is>
      </c>
    </row>
    <row r="15" ht="25" customHeight="1" s="20">
      <c r="A15" s="23" t="inlineStr">
        <is>
          <t>3</t>
        </is>
      </c>
      <c r="B15" s="23" t="inlineStr">
        <is>
          <t>SPA</t>
        </is>
      </c>
      <c r="C15" s="23" t="inlineStr">
        <is>
          <t>App bootstrap (any page reload)</t>
        </is>
      </c>
      <c r="D15" s="23" t="inlineStr">
        <is>
          <t>Restore session</t>
        </is>
      </c>
      <c r="E15" s="23" t="inlineStr">
        <is>
          <t>restoreSession() -&gt; AuthService.me()</t>
        </is>
      </c>
      <c r="F15" s="13" t="inlineStr">
        <is>
          <t>GET</t>
        </is>
      </c>
      <c r="G15" s="23" t="inlineStr">
        <is>
          <t>/api/auth/me</t>
        </is>
      </c>
      <c r="H15" s="23" t="inlineStr">
        <is>
          <t>AUTH-SERVICE</t>
        </is>
      </c>
      <c r="I15" s="23" t="inlineStr">
        <is>
          <t>AuthHandler.me</t>
        </is>
      </c>
      <c r="J15" s="23" t="inlineStr">
        <is>
          <t>AuthService.getCurrentUser()</t>
        </is>
      </c>
      <c r="K15" s="23" t="inlineStr">
        <is>
          <t>Gateway validates JWT, injects X-Authenticated-User-Id / Role / Customer-Id + X-Gateway-Key headers.</t>
        </is>
      </c>
      <c r="L15" s="23" t="inlineStr">
        <is>
          <t>-</t>
        </is>
      </c>
      <c r="M15" s="23" t="inlineStr">
        <is>
          <t>read</t>
        </is>
      </c>
      <c r="N15" s="23" t="inlineStr">
        <is>
          <t>-</t>
        </is>
      </c>
      <c r="O15" s="23" t="inlineStr">
        <is>
          <t>-</t>
        </is>
      </c>
      <c r="P15" s="23" t="inlineStr">
        <is>
          <t>User object in NgRx auth state</t>
        </is>
      </c>
    </row>
    <row r="16" ht="25" customHeight="1" s="20">
      <c r="A16" s="23" t="inlineStr">
        <is>
          <t>4</t>
        </is>
      </c>
      <c r="B16" s="23" t="inlineStr">
        <is>
          <t>SPA</t>
        </is>
      </c>
      <c r="C16" s="23" t="inlineStr">
        <is>
          <t>Any secured call (auth.interceptor)</t>
        </is>
      </c>
      <c r="D16" s="23" t="inlineStr">
        <is>
          <t>Access token expired (15 min) -&gt; 401</t>
        </is>
      </c>
      <c r="E16" s="23" t="inlineStr">
        <is>
          <t>refreshToken() -&gt; AuthService.refresh()</t>
        </is>
      </c>
      <c r="F16" s="13" t="inlineStr">
        <is>
          <t>POST</t>
        </is>
      </c>
      <c r="G16" s="23" t="inlineStr">
        <is>
          <t>/api/auth/refresh</t>
        </is>
      </c>
      <c r="H16" s="23" t="inlineStr">
        <is>
          <t>AUTH-SERVICE</t>
        </is>
      </c>
      <c r="I16" s="23" t="inlineStr">
        <is>
          <t>AuthHandler.refresh</t>
        </is>
      </c>
      <c r="J16" s="23" t="inlineStr">
        <is>
          <t>AuthService.refresh()</t>
        </is>
      </c>
      <c r="K16" s="23" t="inlineStr">
        <is>
          <t>Refresh token (7 days) must be valid and not revoked; rotated on use.</t>
        </is>
      </c>
      <c r="L16" s="23" t="inlineStr">
        <is>
          <t>-</t>
        </is>
      </c>
      <c r="M16" s="23" t="inlineStr">
        <is>
          <t>refresh_tokens, sessions</t>
        </is>
      </c>
      <c r="N16" s="23" t="inlineStr">
        <is>
          <t>-</t>
        </is>
      </c>
      <c r="O16" s="23" t="inlineStr">
        <is>
          <t>-</t>
        </is>
      </c>
      <c r="P16" s="23" t="inlineStr">
        <is>
          <t>New token pair; original request retried</t>
        </is>
      </c>
    </row>
    <row r="17" ht="26" customHeight="1" s="20">
      <c r="A17" s="23" t="inlineStr">
        <is>
          <t>5</t>
        </is>
      </c>
      <c r="B17" s="23" t="inlineStr">
        <is>
          <t>Customer</t>
        </is>
      </c>
      <c r="C17" s="23" t="inlineStr">
        <is>
          <t>Header &gt; Logout</t>
        </is>
      </c>
      <c r="D17" s="23" t="inlineStr">
        <is>
          <t>Signs out</t>
        </is>
      </c>
      <c r="E17" s="23" t="inlineStr">
        <is>
          <t>logout() -&gt; AuthService.logout()</t>
        </is>
      </c>
      <c r="F17" s="13" t="inlineStr">
        <is>
          <t>POST</t>
        </is>
      </c>
      <c r="G17" s="23" t="inlineStr">
        <is>
          <t>/api/auth/logout</t>
        </is>
      </c>
      <c r="H17" s="23" t="inlineStr">
        <is>
          <t>AUTH-SERVICE</t>
        </is>
      </c>
      <c r="I17" s="23" t="inlineStr">
        <is>
          <t>AuthHandler.logout</t>
        </is>
      </c>
      <c r="J17" s="23" t="inlineStr">
        <is>
          <t>AuthService.logout()</t>
        </is>
      </c>
      <c r="K17" s="23" t="inlineStr">
        <is>
          <t>Refresh token revoked.</t>
        </is>
      </c>
      <c r="L17" s="23" t="inlineStr">
        <is>
          <t>-</t>
        </is>
      </c>
      <c r="M17" s="23" t="inlineStr">
        <is>
          <t>refresh_tokens, sessions</t>
        </is>
      </c>
      <c r="N17" s="23" t="inlineStr">
        <is>
          <t>Session: ended</t>
        </is>
      </c>
      <c r="O17" s="23" t="inlineStr">
        <is>
          <t>-</t>
        </is>
      </c>
      <c r="P17" s="23" t="inlineStr">
        <is>
          <t>Tokens cleared, redirect to /login</t>
        </is>
      </c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</row>
    <row r="19" ht="37.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2E75B6"/>
    <outlinePr summaryBelow="1" summaryRight="1"/>
    <pageSetUpPr/>
  </sheetPr>
  <dimension ref="A1:P15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UJ-02  Browse Product Catalogue (public)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Guest / Customer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Discover available parametric insurance products and their trigger rules.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Visitor opens the welcome page or /products.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At least one product in ACTIVE status.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Visitor understands cover, limits and trigger; can proceed to apply.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API Gateway (public paths), Product-Svc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PRODUCT-SERVICE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25" customHeight="1" s="20">
      <c r="A13" s="23" t="inlineStr">
        <is>
          <t>1</t>
        </is>
      </c>
      <c r="B13" s="23" t="inlineStr">
        <is>
          <t>Guest</t>
        </is>
      </c>
      <c r="C13" s="23" t="inlineStr">
        <is>
          <t>/ (WelcomeComponent)</t>
        </is>
      </c>
      <c r="D13" s="23" t="inlineStr">
        <is>
          <t>Lands on home page</t>
        </is>
      </c>
      <c r="E13" s="23" t="inlineStr">
        <is>
          <t>loadProducts() -&gt; ProductService.getActiveProducts()</t>
        </is>
      </c>
      <c r="F13" s="14" t="inlineStr">
        <is>
          <t>GET</t>
        </is>
      </c>
      <c r="G13" s="23" t="inlineStr">
        <is>
          <t>/api/products</t>
        </is>
      </c>
      <c r="H13" s="23" t="inlineStr">
        <is>
          <t>PRODUCT-SERVICE :8082</t>
        </is>
      </c>
      <c r="I13" s="23" t="inlineStr">
        <is>
          <t>ProductHandler.getProducts</t>
        </is>
      </c>
      <c r="J13" s="23" t="inlineStr">
        <is>
          <t>ProductService.getActiveProducts()</t>
        </is>
      </c>
      <c r="K13" s="23" t="inlineStr">
        <is>
          <t>Public path - gateway skips JWT (GET /api/products, /api/products/{id}, /api/products/category/{c}).</t>
        </is>
      </c>
      <c r="L13" s="23" t="inlineStr">
        <is>
          <t>-</t>
        </is>
      </c>
      <c r="M13" s="23" t="inlineStr">
        <is>
          <t>read products, coverages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Featured product cards</t>
        </is>
      </c>
    </row>
    <row r="14" ht="25" customHeight="1" s="20">
      <c r="A14" s="23" t="inlineStr">
        <is>
          <t>2</t>
        </is>
      </c>
      <c r="B14" s="23" t="inlineStr">
        <is>
          <t>Guest</t>
        </is>
      </c>
      <c r="C14" s="23" t="inlineStr">
        <is>
          <t>/products (PublicProductListComponent)</t>
        </is>
      </c>
      <c r="D14" s="23" t="inlineStr">
        <is>
          <t>Filters by category</t>
        </is>
      </c>
      <c r="E14" s="23" t="inlineStr">
        <is>
          <t>loadProductsByCategory() -&gt; ProductService.getProductsByCategory()</t>
        </is>
      </c>
      <c r="F14" s="14" t="inlineStr">
        <is>
          <t>GET</t>
        </is>
      </c>
      <c r="G14" s="23" t="inlineStr">
        <is>
          <t>/api/products/category/{category}</t>
        </is>
      </c>
      <c r="H14" s="23" t="inlineStr">
        <is>
          <t>PRODUCT-SERVICE</t>
        </is>
      </c>
      <c r="I14" s="23" t="inlineStr">
        <is>
          <t>ProductHandler.getByCategory</t>
        </is>
      </c>
      <c r="J14" s="23" t="inlineStr">
        <is>
          <t>ProductService.getProductsByCategory()</t>
        </is>
      </c>
      <c r="K14" s="23" t="inlineStr">
        <is>
          <t>Category must be a valid ProductCategory enum.</t>
        </is>
      </c>
      <c r="L14" s="23" t="inlineStr">
        <is>
          <t>-</t>
        </is>
      </c>
      <c r="M14" s="23" t="inlineStr">
        <is>
          <t>read</t>
        </is>
      </c>
      <c r="N14" s="23" t="inlineStr">
        <is>
          <t>-</t>
        </is>
      </c>
      <c r="O14" s="23" t="inlineStr">
        <is>
          <t>-</t>
        </is>
      </c>
      <c r="P14" s="23" t="inlineStr">
        <is>
          <t>Filtered list</t>
        </is>
      </c>
    </row>
    <row r="15" ht="37.5" customHeight="1" s="20">
      <c r="A15" s="23" t="inlineStr">
        <is>
          <t>3</t>
        </is>
      </c>
      <c r="B15" s="23" t="inlineStr">
        <is>
          <t>Guest</t>
        </is>
      </c>
      <c r="C15" s="23" t="inlineStr">
        <is>
          <t>/products/:productId (PublicProductDetailComponent)</t>
        </is>
      </c>
      <c r="D15" s="23" t="inlineStr">
        <is>
          <t>Opens a product</t>
        </is>
      </c>
      <c r="E15" s="23" t="inlineStr">
        <is>
          <t>loadProduct() -&gt; ProductService.getProduct()</t>
        </is>
      </c>
      <c r="F15" s="14" t="inlineStr">
        <is>
          <t>GET</t>
        </is>
      </c>
      <c r="G15" s="23" t="inlineStr">
        <is>
          <t>/api/products/{productId}</t>
        </is>
      </c>
      <c r="H15" s="23" t="inlineStr">
        <is>
          <t>PRODUCT-SERVICE</t>
        </is>
      </c>
      <c r="I15" s="23" t="inlineStr">
        <is>
          <t>ProductHandler.getProduct</t>
        </is>
      </c>
      <c r="J15" s="23" t="inlineStr">
        <is>
          <t>ProductService.getActiveProduct()</t>
        </is>
      </c>
      <c r="K15" s="23" t="inlineStr">
        <is>
          <t>Only ACTIVE products visible.</t>
        </is>
      </c>
      <c r="L15" s="23" t="inlineStr">
        <is>
          <t>-</t>
        </is>
      </c>
      <c r="M15" s="23" t="inlineStr">
        <is>
          <t>read</t>
        </is>
      </c>
      <c r="N15" s="23" t="inlineStr">
        <is>
          <t>-</t>
        </is>
      </c>
      <c r="O15" s="23" t="inlineStr">
        <is>
          <t>-</t>
        </is>
      </c>
      <c r="P15" s="23" t="inlineStr">
        <is>
          <t>Product detail + parametric-trigger-card + trigger-explanation; 'Apply' leads to login / policy form</t>
        </is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2E75B6"/>
    <outlinePr summaryBelow="1" summaryRight="1"/>
    <pageSetUpPr/>
  </sheetPr>
  <dimension ref="A1:P15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UJ-03  Customer Profile Management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Customer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Maintain personal details used on policies and claims.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Customer opens /customer/profile.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Signed in as CUSTOMER.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Profile (personal details, segment, address) saved via PUT /api/users/me.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Auth-Svc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AUTH-SERVICE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25" customHeight="1" s="20">
      <c r="A13" s="23" t="inlineStr">
        <is>
          <t>1</t>
        </is>
      </c>
      <c r="B13" s="23" t="inlineStr">
        <is>
          <t>Customer</t>
        </is>
      </c>
      <c r="C13" s="23" t="inlineStr">
        <is>
          <t>/customer/profile (CustomerProfileComponent)</t>
        </is>
      </c>
      <c r="D13" s="23" t="inlineStr">
        <is>
          <t>Opens profile</t>
        </is>
      </c>
      <c r="E13" s="23" t="inlineStr">
        <is>
          <t>UserService.getMyProfile()</t>
        </is>
      </c>
      <c r="F13" s="14" t="inlineStr">
        <is>
          <t>GET</t>
        </is>
      </c>
      <c r="G13" s="23" t="inlineStr">
        <is>
          <t>/api/users/me</t>
        </is>
      </c>
      <c r="H13" s="23" t="inlineStr">
        <is>
          <t>AUTH-SERVICE :8081</t>
        </is>
      </c>
      <c r="I13" s="23" t="inlineStr">
        <is>
          <t>UserHandler.getMyProfile</t>
        </is>
      </c>
      <c r="J13" s="23" t="inlineStr">
        <is>
          <t>UserProfileService.getProfile()</t>
        </is>
      </c>
      <c r="K13" s="23" t="inlineStr">
        <is>
          <t>Authenticated.</t>
        </is>
      </c>
      <c r="L13" s="23" t="inlineStr">
        <is>
          <t>-</t>
        </is>
      </c>
      <c r="M13" s="23" t="inlineStr">
        <is>
          <t>read users_credentials, user_profiles, addresses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Form pre-filled</t>
        </is>
      </c>
    </row>
    <row r="14" ht="37.5" customHeight="1" s="20">
      <c r="A14" s="23" t="inlineStr">
        <is>
          <t>2</t>
        </is>
      </c>
      <c r="B14" s="23" t="inlineStr">
        <is>
          <t>Customer</t>
        </is>
      </c>
      <c r="C14" s="23" t="inlineStr">
        <is>
          <t>/customer/profile</t>
        </is>
      </c>
      <c r="D14" s="23" t="inlineStr">
        <is>
          <t>Edits and saves</t>
        </is>
      </c>
      <c r="E14" s="23" t="inlineStr">
        <is>
          <t>UserService.updateMyProfile()</t>
        </is>
      </c>
      <c r="F14" s="14" t="inlineStr">
        <is>
          <t>PUT</t>
        </is>
      </c>
      <c r="G14" s="23" t="inlineStr">
        <is>
          <t>/api/users/me</t>
        </is>
      </c>
      <c r="H14" s="23" t="inlineStr">
        <is>
          <t>AUTH-SERVICE</t>
        </is>
      </c>
      <c r="I14" s="23" t="inlineStr">
        <is>
          <t>UserHandler.saveMyProfile</t>
        </is>
      </c>
      <c r="J14" s="23" t="inlineStr">
        <is>
          <t>UserProfileService.saveProfile()</t>
        </is>
      </c>
      <c r="K14" s="23" t="inlineStr">
        <is>
          <t>Field validation (10-digit phone, DOB, segment INDIVIDUAL/FARMER/SMALL_BUSINESS/ENTERPRISE, 6-digit PIN).</t>
        </is>
      </c>
      <c r="L14" s="23" t="inlineStr">
        <is>
          <t>-</t>
        </is>
      </c>
      <c r="M14" s="23" t="inlineStr">
        <is>
          <t>user_profiles, addresses</t>
        </is>
      </c>
      <c r="N14" s="23" t="inlineStr">
        <is>
          <t>-</t>
        </is>
      </c>
      <c r="O14" s="23" t="inlineStr">
        <is>
          <t>-</t>
        </is>
      </c>
      <c r="P14" s="23" t="inlineStr">
        <is>
          <t>Saved; values shown after reload</t>
        </is>
      </c>
    </row>
    <row r="15" ht="37.5" customHeight="1" s="20">
      <c r="A15" s="23" t="inlineStr">
        <is>
          <t>3</t>
        </is>
      </c>
      <c r="B15" s="23" t="inlineStr">
        <is>
          <t>Staff</t>
        </is>
      </c>
      <c r="C15" s="23" t="inlineStr">
        <is>
          <t>/admin|/underwriter|/claims-officer/profile (StaffProfileComponent)</t>
        </is>
      </c>
      <c r="D15" s="23" t="inlineStr">
        <is>
          <t>Views / edits own details</t>
        </is>
      </c>
      <c r="E15" s="23" t="inlineStr">
        <is>
          <t>UserService.getMyProfile() / updateMyProfile()</t>
        </is>
      </c>
      <c r="F15" s="14" t="inlineStr">
        <is>
          <t>GET / PUT</t>
        </is>
      </c>
      <c r="G15" s="23" t="inlineStr">
        <is>
          <t>/api/users/me</t>
        </is>
      </c>
      <c r="H15" s="23" t="inlineStr">
        <is>
          <t>AUTH-SERVICE</t>
        </is>
      </c>
      <c r="I15" s="23" t="inlineStr">
        <is>
          <t>UserHandler.getMyProfile / saveMyProfile</t>
        </is>
      </c>
      <c r="J15" s="23" t="inlineStr">
        <is>
          <t>UserProfileService</t>
        </is>
      </c>
      <c r="K15" s="23" t="inlineStr">
        <is>
          <t>Same validation as customers.</t>
        </is>
      </c>
      <c r="L15" s="23" t="inlineStr">
        <is>
          <t>-</t>
        </is>
      </c>
      <c r="M15" s="23" t="inlineStr">
        <is>
          <t>user_profiles</t>
        </is>
      </c>
      <c r="N15" s="23" t="inlineStr">
        <is>
          <t>-</t>
        </is>
      </c>
      <c r="O15" s="23" t="inlineStr">
        <is>
          <t>-</t>
        </is>
      </c>
      <c r="P15" s="23" t="inlineStr">
        <is>
          <t>Profile page from the header menu</t>
        </is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2E75B6"/>
    <outlinePr summaryBelow="1" summaryRight="1"/>
    <pageSetUpPr/>
  </sheetPr>
  <dimension ref="A1:P16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UJ-04  Get a Quote and Accept It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Customer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Obtain a priced, time-limited quote for a product, zone, sum insured and term.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Customer opens /customer/quotes and requests a quote.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Product ACTIVE; zone ACTIVE; an ACTIVE pricing rule exists for product (+zone) - DefaultPricingRuleScheduler provisions one per product.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Quote in ACCEPTED state, valid 7 days, ready to be used in a policy application.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Financial-Svc, Product-Svc, Trigger-Svc,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PRODUCT -&gt; FINANCIAL-SERVICE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37.5" customHeight="1" s="20">
      <c r="A13" s="23" t="inlineStr">
        <is>
          <t>1</t>
        </is>
      </c>
      <c r="B13" s="23" t="inlineStr">
        <is>
          <t>Customer</t>
        </is>
      </c>
      <c r="C13" s="23" t="inlineStr">
        <is>
          <t>/customer/quotes (CustomerQuotesComponent)</t>
        </is>
      </c>
      <c r="D13" s="23" t="inlineStr">
        <is>
          <t>Opens quotes page</t>
        </is>
      </c>
      <c r="E13" s="23" t="inlineStr">
        <is>
          <t>loadProducts(), loadQuotes(), ZoneService.getActiveZones()</t>
        </is>
      </c>
      <c r="F13" s="14" t="inlineStr">
        <is>
          <t>GET</t>
        </is>
      </c>
      <c r="G13" s="23" t="inlineStr">
        <is>
          <t>/api/products  |  /api/financial/quotes/me  |  /api/triggers/zones/active</t>
        </is>
      </c>
      <c r="H13" s="23" t="inlineStr">
        <is>
          <t>PRODUCT / FINANCIAL / TRIGGER</t>
        </is>
      </c>
      <c r="I13" s="23" t="inlineStr">
        <is>
          <t>ProductHandler.getProducts / QuoteHandler.findMine / LocationZoneHandler.getActive</t>
        </is>
      </c>
      <c r="J13" s="23" t="inlineStr">
        <is>
          <t>getActiveProducts() / QuoteService.findMine() / LocationZoneService.getActive()</t>
        </is>
      </c>
      <c r="K13" s="23" t="inlineStr">
        <is>
          <t>Stale quotes auto-marked EXPIRED on read.</t>
        </is>
      </c>
      <c r="L13" s="23" t="inlineStr">
        <is>
          <t>-</t>
        </is>
      </c>
      <c r="M13" s="23" t="inlineStr">
        <is>
          <t>read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Product &amp; zone pickers, my quotes list</t>
        </is>
      </c>
    </row>
    <row r="14" ht="62.5" customHeight="1" s="20">
      <c r="A14" s="23" t="inlineStr">
        <is>
          <t>2</t>
        </is>
      </c>
      <c r="B14" s="23" t="inlineStr">
        <is>
          <t>Customer</t>
        </is>
      </c>
      <c r="C14" s="23" t="inlineStr">
        <is>
          <t>/customer/quotes</t>
        </is>
      </c>
      <c r="D14" s="23" t="inlineStr">
        <is>
          <t>Selects product, zone, sum insured, term -&gt; 'Get quote'</t>
        </is>
      </c>
      <c r="E14" s="23" t="inlineStr">
        <is>
          <t>createQuote() -&gt; QuoteService.createQuote()</t>
        </is>
      </c>
      <c r="F14" s="14" t="inlineStr">
        <is>
          <t>POST</t>
        </is>
      </c>
      <c r="G14" s="23" t="inlineStr">
        <is>
          <t>/api/financial/quotes</t>
        </is>
      </c>
      <c r="H14" s="23" t="inlineStr">
        <is>
          <t>FINANCIAL-SERVICE :8088</t>
        </is>
      </c>
      <c r="I14" s="23" t="inlineStr">
        <is>
          <t>QuoteHandler.create</t>
        </is>
      </c>
      <c r="J14" s="23" t="inlineStr">
        <is>
          <t>QuoteService.create()</t>
        </is>
      </c>
      <c r="K14" s="23" t="inlineStr">
        <is>
          <t>Customer only; sum insured / term within product min-max; zone must be ACTIVE; applicable rule = ACTIVE rule for product+zone (else product-wide). Premium = max(SI x baseAnnualRate x term/12 x termFactor x locationFactor, minimumPremium).</t>
        </is>
      </c>
      <c r="L14" s="23" t="inlineStr">
        <is>
          <t>Financial -&gt; Product-Svc GET /internal/products/{productId}; Financial -&gt; Trigger-Svc GET /internal/triggers/zones/{zoneId}; -&gt; Notification-Svc POST /internal/notifications (QUOTE_CREATED)</t>
        </is>
      </c>
      <c r="M14" s="23" t="inlineStr">
        <is>
          <t>quotes</t>
        </is>
      </c>
      <c r="N14" s="23" t="inlineStr">
        <is>
          <t>Quote: CREATED (expiresAt = now + 7 days)</t>
        </is>
      </c>
      <c r="O14" s="23" t="inlineStr">
        <is>
          <t>Customer notified QUOTE_CREATED</t>
        </is>
      </c>
      <c r="P14" s="23" t="inlineStr">
        <is>
          <t>Quote card with premium breakdown</t>
        </is>
      </c>
    </row>
    <row r="15" ht="25" customHeight="1" s="20">
      <c r="A15" s="23" t="inlineStr">
        <is>
          <t>3</t>
        </is>
      </c>
      <c r="B15" s="23" t="inlineStr">
        <is>
          <t>Customer</t>
        </is>
      </c>
      <c r="C15" s="23" t="inlineStr">
        <is>
          <t>/customer/quotes</t>
        </is>
      </c>
      <c r="D15" s="23" t="inlineStr">
        <is>
          <t>Clicks 'Accept'</t>
        </is>
      </c>
      <c r="E15" s="23" t="inlineStr">
        <is>
          <t>acceptQuote() -&gt; QuoteService.acceptQuote()</t>
        </is>
      </c>
      <c r="F15" s="14" t="inlineStr">
        <is>
          <t>PUT</t>
        </is>
      </c>
      <c r="G15" s="23" t="inlineStr">
        <is>
          <t>/api/financial/quotes/{quoteId}/accept</t>
        </is>
      </c>
      <c r="H15" s="23" t="inlineStr">
        <is>
          <t>FINANCIAL-SERVICE</t>
        </is>
      </c>
      <c r="I15" s="23" t="inlineStr">
        <is>
          <t>QuoteHandler.accept</t>
        </is>
      </c>
      <c r="J15" s="23" t="inlineStr">
        <is>
          <t>QuoteService.accept()</t>
        </is>
      </c>
      <c r="K15" s="23" t="inlineStr">
        <is>
          <t>Must be caller's quote; 409 if CONSUMED / EXPIRED / CANCELLED; idempotent if already ACCEPTED.</t>
        </is>
      </c>
      <c r="L15" s="23" t="inlineStr">
        <is>
          <t>-</t>
        </is>
      </c>
      <c r="M15" s="23" t="inlineStr">
        <is>
          <t>quotes</t>
        </is>
      </c>
      <c r="N15" s="23" t="inlineStr">
        <is>
          <t>Quote: CREATED -&gt; ACCEPTED</t>
        </is>
      </c>
      <c r="O15" s="23" t="inlineStr">
        <is>
          <t>-</t>
        </is>
      </c>
      <c r="P15" s="23" t="inlineStr">
        <is>
          <t>'Apply with this quote' button -&gt; /customer/policies/new?quoteId=</t>
        </is>
      </c>
    </row>
    <row r="16">
      <c r="A16" s="23" t="inlineStr">
        <is>
          <t>4</t>
        </is>
      </c>
      <c r="B16" s="23" t="inlineStr">
        <is>
          <t>Customer (alt)</t>
        </is>
      </c>
      <c r="C16" s="23" t="inlineStr">
        <is>
          <t>/customer/quotes</t>
        </is>
      </c>
      <c r="D16" s="23" t="inlineStr">
        <is>
          <t>Clicks 'Cancel'</t>
        </is>
      </c>
      <c r="E16" s="23" t="inlineStr">
        <is>
          <t>cancelQuote() -&gt; QuoteService.cancelQuote()</t>
        </is>
      </c>
      <c r="F16" s="14" t="inlineStr">
        <is>
          <t>PUT</t>
        </is>
      </c>
      <c r="G16" s="23" t="inlineStr">
        <is>
          <t>/api/financial/quotes/{quoteId}/cancel</t>
        </is>
      </c>
      <c r="H16" s="23" t="inlineStr">
        <is>
          <t>FINANCIAL-SERVICE</t>
        </is>
      </c>
      <c r="I16" s="23" t="inlineStr">
        <is>
          <t>QuoteHandler.cancel</t>
        </is>
      </c>
      <c r="J16" s="23" t="inlineStr">
        <is>
          <t>QuoteService.cancel()</t>
        </is>
      </c>
      <c r="K16" s="23" t="inlineStr">
        <is>
          <t>Own quote, not CONSUMED.</t>
        </is>
      </c>
      <c r="L16" s="23" t="inlineStr">
        <is>
          <t>-</t>
        </is>
      </c>
      <c r="M16" s="23" t="inlineStr">
        <is>
          <t>quotes</t>
        </is>
      </c>
      <c r="N16" s="23" t="inlineStr">
        <is>
          <t>Quote: -&gt; CANCELLED</t>
        </is>
      </c>
      <c r="O16" s="23" t="inlineStr">
        <is>
          <t>-</t>
        </is>
      </c>
      <c r="P16" s="23" t="inlineStr">
        <is>
          <t>Quote greyed out</t>
        </is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2E75B6"/>
    <outlinePr summaryBelow="1" summaryRight="1"/>
    <pageSetUpPr/>
  </sheetPr>
  <dimension ref="A1:P18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UJ-05  Apply for a Policy (standard product)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Customer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Submit a policy application on a catalogue product, with or without an accepted quote.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Customer submits the form on /customer/policies/new.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Signed in as CUSTOMER; product ACTIVE with complete trigger config; optional ACCEPTED quote.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Policy PENDING with captured trigger snapshot; quote CONSUMED; underwriters notified.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Product-Svc, Financial-Svc, Trigger-Svc,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PRODUCT -&gt; PRODUCT-SERVICE -&gt; FINANCIAL-SERVICE -&gt; PRODUCT-SERVICE -&gt; NOTIFICATION-SERVICE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37.5" customHeight="1" s="20">
      <c r="A13" s="23" t="inlineStr">
        <is>
          <t>1</t>
        </is>
      </c>
      <c r="B13" s="23" t="inlineStr">
        <is>
          <t>Customer</t>
        </is>
      </c>
      <c r="C13" s="23" t="inlineStr">
        <is>
          <t>/customer/policies/new (CustomerPolicyNewComponent)</t>
        </is>
      </c>
      <c r="D13" s="23" t="inlineStr">
        <is>
          <t>Opens form (optionally from a quote)</t>
        </is>
      </c>
      <c r="E13" s="23" t="inlineStr">
        <is>
          <t>loadProducts(); QuoteService.getQuote(quoteId); ZoneService.getActiveZones()</t>
        </is>
      </c>
      <c r="F13" s="14" t="inlineStr">
        <is>
          <t>GET</t>
        </is>
      </c>
      <c r="G13" s="23" t="inlineStr">
        <is>
          <t>/api/products  |  /api/financial/quotes/{quoteId}  |  /api/triggers/zones/active</t>
        </is>
      </c>
      <c r="H13" s="23" t="inlineStr">
        <is>
          <t>PRODUCT / FINANCIAL / TRIGGER</t>
        </is>
      </c>
      <c r="I13" s="23" t="inlineStr">
        <is>
          <t>ProductHandler.getProducts / QuoteHandler.findById / LocationZoneHandler.getActive</t>
        </is>
      </c>
      <c r="J13" s="23" t="inlineStr">
        <is>
          <t>-</t>
        </is>
      </c>
      <c r="K13" s="23" t="inlineStr">
        <is>
          <t>Quote pre-fills product, zone, sum insured and term.</t>
        </is>
      </c>
      <c r="L13" s="23" t="inlineStr">
        <is>
          <t>-</t>
        </is>
      </c>
      <c r="M13" s="23" t="inlineStr">
        <is>
          <t>read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Application form</t>
        </is>
      </c>
    </row>
    <row r="14" ht="37.5" customHeight="1" s="20">
      <c r="A14" s="23" t="inlineStr">
        <is>
          <t>2</t>
        </is>
      </c>
      <c r="B14" s="23" t="inlineStr">
        <is>
          <t>Customer</t>
        </is>
      </c>
      <c r="C14" s="23" t="inlineStr">
        <is>
          <t>/customer/policies/new</t>
        </is>
      </c>
      <c r="D14" s="23" t="inlineStr">
        <is>
          <t>Submits application</t>
        </is>
      </c>
      <c r="E14" s="23" t="inlineStr">
        <is>
          <t>createPolicy() -&gt; PolicyService.createPolicy()</t>
        </is>
      </c>
      <c r="F14" s="14" t="inlineStr">
        <is>
          <t>POST</t>
        </is>
      </c>
      <c r="G14" s="23" t="inlineStr">
        <is>
          <t>/api/policies</t>
        </is>
      </c>
      <c r="H14" s="23" t="inlineStr">
        <is>
          <t>PRODUCT-SERVICE :8082</t>
        </is>
      </c>
      <c r="I14" s="23" t="inlineStr">
        <is>
          <t>PolicyHandler.createPolicy</t>
        </is>
      </c>
      <c r="J14" s="23" t="inlineStr">
        <is>
          <t>PolicyService.createPolicy() -&gt; createApplication()</t>
        </is>
      </c>
      <c r="K14" s="23" t="inlineStr">
        <is>
          <t>Product must be ACTIVE (404); sum insured &amp; term within limits; 409 if a PENDING application exists for same product; location zone required.</t>
        </is>
      </c>
      <c r="L14" s="23" t="inlineStr">
        <is>
          <t>-</t>
        </is>
      </c>
      <c r="M14" s="23" t="inlineStr">
        <is>
          <t>-</t>
        </is>
      </c>
      <c r="N14" s="23" t="inlineStr">
        <is>
          <t>-</t>
        </is>
      </c>
      <c r="O14" s="23" t="inlineStr">
        <is>
          <t>-</t>
        </is>
      </c>
      <c r="P14" s="23" t="inlineStr">
        <is>
          <t>(continues below - same request)</t>
        </is>
      </c>
    </row>
    <row r="15" ht="25" customHeight="1" s="20">
      <c r="A15" s="23" t="inlineStr">
        <is>
          <t>3</t>
        </is>
      </c>
      <c r="B15" s="23" t="inlineStr">
        <is>
          <t>Product-Svc (system)</t>
        </is>
      </c>
      <c r="C15" s="23" t="inlineStr">
        <is>
          <t>-</t>
        </is>
      </c>
      <c r="D15" s="23" t="inlineStr">
        <is>
          <t>Validate quote (only when quoteId sent)</t>
        </is>
      </c>
      <c r="E15" s="23" t="inlineStr">
        <is>
          <t>FinancialServiceClient.validateQuote()</t>
        </is>
      </c>
      <c r="F15" s="14" t="inlineStr">
        <is>
          <t>POST</t>
        </is>
      </c>
      <c r="G15" s="23" t="inlineStr">
        <is>
          <t>/internal/financial/quotes/{quoteId}/validate</t>
        </is>
      </c>
      <c r="H15" s="23" t="inlineStr">
        <is>
          <t>FINANCIAL-SERVICE</t>
        </is>
      </c>
      <c r="I15" s="23" t="inlineStr">
        <is>
          <t>QuoteHandler.validateInternal</t>
        </is>
      </c>
      <c r="J15" s="23" t="inlineStr">
        <is>
          <t>QuoteService.validateInternal()</t>
        </is>
      </c>
      <c r="K15" s="23" t="inlineStr">
        <is>
          <t>Quote must belong to customer, match product/zone/SI/term, be ACCEPTED and not expired; otherwise 400 with validationReason.</t>
        </is>
      </c>
      <c r="L15" s="23" t="inlineStr">
        <is>
          <t>Product -&gt; Financial (Eureka lb://FINANCIAL-SERVICE, X-Gateway-Key)</t>
        </is>
      </c>
      <c r="M15" s="23" t="inlineStr">
        <is>
          <t>quotes (may mark EXPIRED)</t>
        </is>
      </c>
      <c r="N15" s="23" t="inlineStr">
        <is>
          <t>-</t>
        </is>
      </c>
      <c r="O15" s="23" t="inlineStr">
        <is>
          <t>-</t>
        </is>
      </c>
      <c r="P15" s="23" t="inlineStr">
        <is>
          <t>Quote premium becomes policy premium</t>
        </is>
      </c>
    </row>
    <row r="16" ht="25" customHeight="1" s="20">
      <c r="A16" s="23" t="inlineStr">
        <is>
          <t>4</t>
        </is>
      </c>
      <c r="B16" s="23" t="inlineStr">
        <is>
          <t>Product-Svc (system)</t>
        </is>
      </c>
      <c r="C16" s="23" t="inlineStr">
        <is>
          <t>-</t>
        </is>
      </c>
      <c r="D16" s="23" t="inlineStr">
        <is>
          <t>Price application (only when no quote)</t>
        </is>
      </c>
      <c r="E16" s="23" t="inlineStr">
        <is>
          <t>FinancialServiceClient.calculatePremium()</t>
        </is>
      </c>
      <c r="F16" s="14" t="inlineStr">
        <is>
          <t>POST</t>
        </is>
      </c>
      <c r="G16" s="23" t="inlineStr">
        <is>
          <t>/internal/financial/pricing/calculate</t>
        </is>
      </c>
      <c r="H16" s="23" t="inlineStr">
        <is>
          <t>FINANCIAL-SERVICE</t>
        </is>
      </c>
      <c r="I16" s="23" t="inlineStr">
        <is>
          <t>QuoteHandler.priceInternal</t>
        </is>
      </c>
      <c r="J16" s="23" t="inlineStr">
        <is>
          <t>QuoteService.priceInternal()</t>
        </is>
      </c>
      <c r="K16" s="23" t="inlineStr">
        <is>
          <t>Uses active pricing rule; if Financial-Svc unavailable, Product-Svc falls back to a flat temporary premium.</t>
        </is>
      </c>
      <c r="L16" s="23" t="inlineStr">
        <is>
          <t>Product -&gt; Financial</t>
        </is>
      </c>
      <c r="M16" s="23" t="inlineStr">
        <is>
          <t>read pricing_rules</t>
        </is>
      </c>
      <c r="N16" s="23" t="inlineStr">
        <is>
          <t>-</t>
        </is>
      </c>
      <c r="O16" s="23" t="inlineStr">
        <is>
          <t>-</t>
        </is>
      </c>
      <c r="P16" s="23" t="inlineStr">
        <is>
          <t>Premium</t>
        </is>
      </c>
    </row>
    <row r="17" ht="37.5" customHeight="1" s="20">
      <c r="A17" s="23" t="inlineStr">
        <is>
          <t>5</t>
        </is>
      </c>
      <c r="B17" s="23" t="inlineStr">
        <is>
          <t>Product-Svc (system)</t>
        </is>
      </c>
      <c r="C17" s="23" t="inlineStr">
        <is>
          <t>-</t>
        </is>
      </c>
      <c r="D17" s="23" t="inlineStr">
        <is>
          <t>Persist application + snapshot + consume quote</t>
        </is>
      </c>
      <c r="E17" s="23" t="inlineStr">
        <is>
          <t>PolicyService.savePendingApplication()</t>
        </is>
      </c>
      <c r="F17" s="14" t="inlineStr">
        <is>
          <t>-</t>
        </is>
      </c>
      <c r="G17" s="23" t="inlineStr">
        <is>
          <t>(internal logic)</t>
        </is>
      </c>
      <c r="H17" s="23" t="inlineStr">
        <is>
          <t>PRODUCT-SERVICE</t>
        </is>
      </c>
      <c r="I17" s="23" t="inlineStr">
        <is>
          <t>-</t>
        </is>
      </c>
      <c r="J17" s="23" t="inlineStr">
        <is>
          <t>savePendingApplication(), resolveSnapshot(), recordHistory(), consumeQuoteIfPresent()</t>
        </is>
      </c>
      <c r="K17" s="23" t="inlineStr">
        <is>
          <t>Trigger snapshot copies product threshold/operator/aggregation/window so later threshold changes do not affect this policy.</t>
        </is>
      </c>
      <c r="L17" s="23" t="inlineStr">
        <is>
          <t>Product -&gt; Financial PUT /internal/financial/quotes/{quoteId}/consume</t>
        </is>
      </c>
      <c r="M17" s="23" t="inlineStr">
        <is>
          <t>policies, policy_trigger_snapshots, policy_status_history, (financial) quotes</t>
        </is>
      </c>
      <c r="N17" s="23" t="inlineStr">
        <is>
          <t>Policy: -&gt; PENDING; Quote: ACCEPTED -&gt; CONSUMED</t>
        </is>
      </c>
      <c r="O17" s="23" t="inlineStr">
        <is>
          <t>-</t>
        </is>
      </c>
      <c r="P17" s="23" t="inlineStr">
        <is>
          <t>-</t>
        </is>
      </c>
    </row>
    <row r="18" ht="37.5" customHeight="1" s="20">
      <c r="A18" s="23" t="inlineStr">
        <is>
          <t>6</t>
        </is>
      </c>
      <c r="B18" s="23" t="inlineStr">
        <is>
          <t>Product-Svc (system)</t>
        </is>
      </c>
      <c r="C18" s="23" t="inlineStr">
        <is>
          <t>-</t>
        </is>
      </c>
      <c r="D18" s="23" t="inlineStr">
        <is>
          <t>Notify</t>
        </is>
      </c>
      <c r="E18" s="23" t="inlineStr">
        <is>
          <t>NotificationService.notifyPolicySubmitted(), notifyPolicyPendingReview()</t>
        </is>
      </c>
      <c r="F18" s="14" t="inlineStr">
        <is>
          <t>POST</t>
        </is>
      </c>
      <c r="G18" s="23" t="inlineStr">
        <is>
          <t>/internal/notifications</t>
        </is>
      </c>
      <c r="H18" s="23" t="inlineStr">
        <is>
          <t>NOTIFICATION-SERVICE</t>
        </is>
      </c>
      <c r="I18" s="23" t="inlineStr">
        <is>
          <t>NotificationHandler.create</t>
        </is>
      </c>
      <c r="J18" s="23" t="inlineStr">
        <is>
          <t>NotificationService.create()</t>
        </is>
      </c>
      <c r="K18" s="23" t="inlineStr">
        <is>
          <t>Notification to customer (POLICY_SUBMITTED) and to roles UNDERWRITER + ADMIN (Policy Pending Review).</t>
        </is>
      </c>
      <c r="L18" s="23" t="inlineStr">
        <is>
          <t>-&gt; Notification-Svc POST /internal/notifications</t>
        </is>
      </c>
      <c r="M18" s="23" t="inlineStr">
        <is>
          <t>notifications</t>
        </is>
      </c>
      <c r="N18" s="23" t="inlineStr">
        <is>
          <t>-</t>
        </is>
      </c>
      <c r="O18" s="23" t="inlineStr">
        <is>
          <t>POLICY_SUBMITTED; underwriter queue alert</t>
        </is>
      </c>
      <c r="P18" s="23" t="inlineStr">
        <is>
          <t>SPA shows 'Application submitted - pending underwriting'; redirect to /customer/policies</t>
        </is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2E75B6"/>
    <outlinePr summaryBelow="1" summaryRight="1"/>
    <pageSetUpPr/>
  </sheetPr>
  <dimension ref="A1:P15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UJ-06  Custom (Customer-Defined) Parametric Policy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Customer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Design an own trigger (peril, measurement, threshold, window) and apply for cover on it.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Customer chooses 'Custom policy' tab on /customer/policies/new.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Signed in as CUSTOMER; target zone ACTIVE.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Customer-defined product created and synced to Trigger-Svc; policy PENDING.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Product-Svc, Trigger-Svc, Financial-Svc,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PRODUCT-SERVICE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25" customHeight="1" s="20">
      <c r="A13" s="23" t="inlineStr">
        <is>
          <t>1</t>
        </is>
      </c>
      <c r="B13" s="23" t="inlineStr">
        <is>
          <t>Customer</t>
        </is>
      </c>
      <c r="C13" s="23" t="inlineStr">
        <is>
          <t>/customer/policies/new (custom tab)</t>
        </is>
      </c>
      <c r="D13" s="23" t="inlineStr">
        <is>
          <t>Defines trigger + SI + term and submits</t>
        </is>
      </c>
      <c r="E13" s="23" t="inlineStr">
        <is>
          <t>createCustomPolicy() -&gt; PolicyService.createCustomPolicy()</t>
        </is>
      </c>
      <c r="F13" s="13" t="inlineStr">
        <is>
          <t>POST</t>
        </is>
      </c>
      <c r="G13" s="23" t="inlineStr">
        <is>
          <t>/api/policies/custom</t>
        </is>
      </c>
      <c r="H13" s="23" t="inlineStr">
        <is>
          <t>PRODUCT-SERVICE</t>
        </is>
      </c>
      <c r="I13" s="23" t="inlineStr">
        <is>
          <t>PolicyHandler.createCustomPolicy</t>
        </is>
      </c>
      <c r="J13" s="23" t="inlineStr">
        <is>
          <t>PolicyService.createCustomPolicy()</t>
        </is>
      </c>
      <c r="K13" s="23" t="inlineStr">
        <is>
          <t>Zone &gt; 0, SI &gt; 0, term &gt; 0; trigger fields validated for peril/measurement/unit compatibility.</t>
        </is>
      </c>
      <c r="L13" s="23" t="inlineStr">
        <is>
          <t>-</t>
        </is>
      </c>
      <c r="M13" s="23" t="inlineStr">
        <is>
          <t>-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(continues)</t>
        </is>
      </c>
    </row>
    <row r="14" ht="50" customHeight="1" s="20">
      <c r="A14" s="23" t="inlineStr">
        <is>
          <t>2</t>
        </is>
      </c>
      <c r="B14" s="23" t="inlineStr">
        <is>
          <t>Product-Svc (system)</t>
        </is>
      </c>
      <c r="C14" s="23" t="inlineStr">
        <is>
          <t>-</t>
        </is>
      </c>
      <c r="D14" s="23" t="inlineStr">
        <is>
          <t>Create customer-defined product</t>
        </is>
      </c>
      <c r="E14" s="23" t="inlineStr">
        <is>
          <t>ProductService.createCustomerDefinedProduct()</t>
        </is>
      </c>
      <c r="F14" s="13" t="inlineStr">
        <is>
          <t>-</t>
        </is>
      </c>
      <c r="G14" s="23" t="inlineStr">
        <is>
          <t>(internal)</t>
        </is>
      </c>
      <c r="H14" s="23" t="inlineStr">
        <is>
          <t>PRODUCT-SERVICE</t>
        </is>
      </c>
      <c r="I14" s="23" t="inlineStr">
        <is>
          <t>-</t>
        </is>
      </c>
      <c r="J14" s="23" t="inlineStr">
        <is>
          <t>createCustomerDefinedProduct() -&gt; syncDefinition()</t>
        </is>
      </c>
      <c r="K14" s="23" t="inlineStr">
        <is>
          <t>Product code CUSTOM-&lt;customerId&gt;-&lt;8 hex&gt;; min=max SI and term = requested; customerDefined = true.</t>
        </is>
      </c>
      <c r="L14" s="23" t="inlineStr">
        <is>
          <t>Product -&gt; Trigger-Svc PUT /internal/triggers/products/{productId}/definition (TriggerDefinitionHandler.syncProductDefinition -&gt; ProductTriggerSyncService)</t>
        </is>
      </c>
      <c r="M14" s="23" t="inlineStr">
        <is>
          <t>products, (trigger) trigger_definitions</t>
        </is>
      </c>
      <c r="N14" s="23" t="inlineStr">
        <is>
          <t>Product triggerSyncStatus: SYNCED / FAILED</t>
        </is>
      </c>
      <c r="O14" s="23" t="inlineStr">
        <is>
          <t>-</t>
        </is>
      </c>
      <c r="P14" s="23" t="inlineStr">
        <is>
          <t>-</t>
        </is>
      </c>
    </row>
    <row r="15" ht="37.5" customHeight="1" s="20">
      <c r="A15" s="23" t="inlineStr">
        <is>
          <t>3</t>
        </is>
      </c>
      <c r="B15" s="23" t="inlineStr">
        <is>
          <t>Product-Svc (system)</t>
        </is>
      </c>
      <c r="C15" s="23" t="inlineStr">
        <is>
          <t>-</t>
        </is>
      </c>
      <c r="D15" s="23" t="inlineStr">
        <is>
          <t>Apply for policy on the new product</t>
        </is>
      </c>
      <c r="E15" s="23" t="inlineStr">
        <is>
          <t>PolicyService.createPolicy()</t>
        </is>
      </c>
      <c r="F15" s="13" t="inlineStr">
        <is>
          <t>-</t>
        </is>
      </c>
      <c r="G15" s="23" t="inlineStr">
        <is>
          <t>(internal)</t>
        </is>
      </c>
      <c r="H15" s="23" t="inlineStr">
        <is>
          <t>PRODUCT-SERVICE</t>
        </is>
      </c>
      <c r="I15" s="23" t="inlineStr">
        <is>
          <t>-</t>
        </is>
      </c>
      <c r="J15" s="23" t="inlineStr">
        <is>
          <t>createApplication()</t>
        </is>
      </c>
      <c r="K15" s="23" t="inlineStr">
        <is>
          <t>Same chain as UJ-05 (pricing via Financial-Svc, snapshot from request trigger data).</t>
        </is>
      </c>
      <c r="L15" s="23" t="inlineStr">
        <is>
          <t>Product -&gt; Financial POST /internal/financial/pricing/calculate; -&gt; Notification-Svc POST /internal/notifications</t>
        </is>
      </c>
      <c r="M15" s="23" t="inlineStr">
        <is>
          <t>policies, policy_trigger_snapshots, policy_status_history</t>
        </is>
      </c>
      <c r="N15" s="23" t="inlineStr">
        <is>
          <t>Policy: -&gt; PENDING</t>
        </is>
      </c>
      <c r="O15" s="23" t="inlineStr">
        <is>
          <t>POLICY_SUBMITTED</t>
        </is>
      </c>
      <c r="P15" s="23" t="inlineStr">
        <is>
          <t>Policy listed under My Policies as PENDING</t>
        </is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2E75B6"/>
    <outlinePr summaryBelow="1" summaryRight="1"/>
    <pageSetUpPr/>
  </sheetPr>
  <dimension ref="A1:P17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UJ-07  Underwriting Review (Approve / Reject Policy)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Underwriter (or Admin)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Decide on pending policy applications.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Underwriter opens queue at /underwriter/policies.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Policy in PENDING; reviewer has ROLE_UNDERWRITER or ROLE_ADMIN.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Policy ACTIVE with start/end dates (or REJECTED with reason); customer notified.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Product-Svc, Trigger-Svc,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PRODUCT-SERVICE -&gt; PRODUCT -&gt; PRODUCT-SERVICE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25" customHeight="1" s="20">
      <c r="A13" s="23" t="inlineStr">
        <is>
          <t>1</t>
        </is>
      </c>
      <c r="B13" s="23" t="inlineStr">
        <is>
          <t>Underwriter</t>
        </is>
      </c>
      <c r="C13" s="23" t="inlineStr">
        <is>
          <t>/underwriter/dashboard</t>
        </is>
      </c>
      <c r="D13" s="23" t="inlineStr">
        <is>
          <t>Opens dashboard</t>
        </is>
      </c>
      <c r="E13" s="23" t="inlineStr">
        <is>
          <t>loadReviewPolicies(), loadAdminPolicies()</t>
        </is>
      </c>
      <c r="F13" s="14" t="inlineStr">
        <is>
          <t>GET</t>
        </is>
      </c>
      <c r="G13" s="23" t="inlineStr">
        <is>
          <t>/api/policies/review/pending  |  /api/policies/admin/all</t>
        </is>
      </c>
      <c r="H13" s="23" t="inlineStr">
        <is>
          <t>PRODUCT-SERVICE</t>
        </is>
      </c>
      <c r="I13" s="23" t="inlineStr">
        <is>
          <t>PolicyHandler.getPendingPolicies / getAllPolicies</t>
        </is>
      </c>
      <c r="J13" s="23" t="inlineStr">
        <is>
          <t>PolicyService.getPendingPolicies() / getAllPolicies()</t>
        </is>
      </c>
      <c r="K13" s="23" t="inlineStr">
        <is>
          <t>UNDERWRITER / ADMIN.</t>
        </is>
      </c>
      <c r="L13" s="23" t="inlineStr">
        <is>
          <t>-</t>
        </is>
      </c>
      <c r="M13" s="23" t="inlineStr">
        <is>
          <t>read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KPI cards + pending queue</t>
        </is>
      </c>
    </row>
    <row r="14" ht="37.5" customHeight="1" s="20">
      <c r="A14" s="23" t="inlineStr">
        <is>
          <t>2</t>
        </is>
      </c>
      <c r="B14" s="23" t="inlineStr">
        <is>
          <t>Underwriter</t>
        </is>
      </c>
      <c r="C14" s="23" t="inlineStr">
        <is>
          <t>/underwriter/policies/:policyId (UnderwriterPolicyDetailComponent)</t>
        </is>
      </c>
      <c r="D14" s="23" t="inlineStr">
        <is>
          <t>Opens application</t>
        </is>
      </c>
      <c r="E14" s="23" t="inlineStr">
        <is>
          <t>loadAdminPolicy(); PolicyService.getPolicySnapshot(); UserService.getUser()</t>
        </is>
      </c>
      <c r="F14" s="14" t="inlineStr">
        <is>
          <t>GET</t>
        </is>
      </c>
      <c r="G14" s="23" t="inlineStr">
        <is>
          <t>/api/policies/admin/{policyId}  |  /api/policies/{policyId}/snapshot  |  /api/users/{userId}</t>
        </is>
      </c>
      <c r="H14" s="23" t="inlineStr">
        <is>
          <t>PRODUCT / AUTH</t>
        </is>
      </c>
      <c r="I14" s="23" t="inlineStr">
        <is>
          <t>PolicyHandler.getPolicy / getPolicySnapshot / UserHandler.getUser</t>
        </is>
      </c>
      <c r="J14" s="23" t="inlineStr">
        <is>
          <t>PolicyService.getPolicy(), getPolicySnapshot() / UserProfileService.getUser()</t>
        </is>
      </c>
      <c r="K14" s="23" t="inlineStr">
        <is>
          <t>Staff may read any policy and customer profile.</t>
        </is>
      </c>
      <c r="L14" s="23" t="inlineStr">
        <is>
          <t>-</t>
        </is>
      </c>
      <c r="M14" s="23" t="inlineStr">
        <is>
          <t>read</t>
        </is>
      </c>
      <c r="N14" s="23" t="inlineStr">
        <is>
          <t>-</t>
        </is>
      </c>
      <c r="O14" s="23" t="inlineStr">
        <is>
          <t>-</t>
        </is>
      </c>
      <c r="P14" s="23" t="inlineStr">
        <is>
          <t>Application + captured trigger + applicant details</t>
        </is>
      </c>
    </row>
    <row r="15" ht="37.5" customHeight="1" s="20">
      <c r="A15" s="23" t="inlineStr">
        <is>
          <t>3</t>
        </is>
      </c>
      <c r="B15" s="23" t="inlineStr">
        <is>
          <t>Underwriter</t>
        </is>
      </c>
      <c r="C15" s="23" t="inlineStr">
        <is>
          <t>/underwriter/policies/:policyId</t>
        </is>
      </c>
      <c r="D15" s="23" t="inlineStr">
        <is>
          <t>Clicks 'Approve'</t>
        </is>
      </c>
      <c r="E15" s="23" t="inlineStr">
        <is>
          <t>approvePolicy() -&gt; PolicyService.approvePolicy()</t>
        </is>
      </c>
      <c r="F15" s="14" t="inlineStr">
        <is>
          <t>PUT</t>
        </is>
      </c>
      <c r="G15" s="23" t="inlineStr">
        <is>
          <t>/api/policies/{policyId}/approve</t>
        </is>
      </c>
      <c r="H15" s="23" t="inlineStr">
        <is>
          <t>PRODUCT-SERVICE</t>
        </is>
      </c>
      <c r="I15" s="23" t="inlineStr">
        <is>
          <t>PolicyHandler.approvePolicy</t>
        </is>
      </c>
      <c r="J15" s="23" t="inlineStr">
        <is>
          <t>PolicyService.approvePolicy()</t>
        </is>
      </c>
      <c r="K15" s="23" t="inlineStr">
        <is>
          <t>Only PENDING (409 otherwise); zone must be present. startDate = today (or day after the renewed policy ends); endDate = start + termMonths; reviewedBy recorded.</t>
        </is>
      </c>
      <c r="L15" s="23" t="inlineStr">
        <is>
          <t>-&gt; Notification-Svc POST /internal/notifications (POLICY_APPROVED)</t>
        </is>
      </c>
      <c r="M15" s="23" t="inlineStr">
        <is>
          <t>policies, policy_status_history</t>
        </is>
      </c>
      <c r="N15" s="23" t="inlineStr">
        <is>
          <t>Policy: PENDING -&gt; ACTIVE</t>
        </is>
      </c>
      <c r="O15" s="23" t="inlineStr">
        <is>
          <t>Customer notified POLICY_APPROVED</t>
        </is>
      </c>
      <c r="P15" s="23" t="inlineStr">
        <is>
          <t>Queue refreshed; decision appears in /underwriter/history</t>
        </is>
      </c>
    </row>
    <row r="16" ht="37.5" customHeight="1" s="20">
      <c r="A16" s="23" t="inlineStr">
        <is>
          <t>4</t>
        </is>
      </c>
      <c r="B16" s="23" t="inlineStr">
        <is>
          <t>Underwriter (alt)</t>
        </is>
      </c>
      <c r="C16" s="23" t="inlineStr">
        <is>
          <t>/underwriter/policies/:policyId</t>
        </is>
      </c>
      <c r="D16" s="23" t="inlineStr">
        <is>
          <t>Clicks 'Reject' with reason</t>
        </is>
      </c>
      <c r="E16" s="23" t="inlineStr">
        <is>
          <t>rejectPolicy() -&gt; PolicyService.rejectPolicy()</t>
        </is>
      </c>
      <c r="F16" s="14" t="inlineStr">
        <is>
          <t>PUT</t>
        </is>
      </c>
      <c r="G16" s="23" t="inlineStr">
        <is>
          <t>/api/policies/{policyId}/reject</t>
        </is>
      </c>
      <c r="H16" s="23" t="inlineStr">
        <is>
          <t>PRODUCT-SERVICE</t>
        </is>
      </c>
      <c r="I16" s="23" t="inlineStr">
        <is>
          <t>PolicyHandler.rejectPolicy</t>
        </is>
      </c>
      <c r="J16" s="23" t="inlineStr">
        <is>
          <t>PolicyService.rejectPolicy()</t>
        </is>
      </c>
      <c r="K16" s="23" t="inlineStr">
        <is>
          <t>Only PENDING; reason mandatory, &lt;= 500 chars.</t>
        </is>
      </c>
      <c r="L16" s="23" t="inlineStr">
        <is>
          <t>-&gt; Notification-Svc POST /internal/notifications (POLICY_REJECTED)</t>
        </is>
      </c>
      <c r="M16" s="23" t="inlineStr">
        <is>
          <t>policies, policy_status_history</t>
        </is>
      </c>
      <c r="N16" s="23" t="inlineStr">
        <is>
          <t>Policy: PENDING -&gt; REJECTED</t>
        </is>
      </c>
      <c r="O16" s="23" t="inlineStr">
        <is>
          <t>Customer notified with reason</t>
        </is>
      </c>
      <c r="P16" s="23" t="inlineStr">
        <is>
          <t>Queue refreshed</t>
        </is>
      </c>
    </row>
    <row r="17" ht="37.5" customHeight="1" s="20">
      <c r="A17" s="23" t="inlineStr">
        <is>
          <t>5</t>
        </is>
      </c>
      <c r="B17" s="23" t="inlineStr">
        <is>
          <t>Underwriter</t>
        </is>
      </c>
      <c r="C17" s="23" t="inlineStr">
        <is>
          <t>/underwriter/history (UnderwriterReviewHistoryComponent)</t>
        </is>
      </c>
      <c r="D17" s="23" t="inlineStr">
        <is>
          <t>Reviews own decisions</t>
        </is>
      </c>
      <c r="E17" s="23" t="inlineStr">
        <is>
          <t>PolicyService.getReviewHistory()</t>
        </is>
      </c>
      <c r="F17" s="14" t="inlineStr">
        <is>
          <t>GET</t>
        </is>
      </c>
      <c r="G17" s="23" t="inlineStr">
        <is>
          <t>/api/policies/review/history</t>
        </is>
      </c>
      <c r="H17" s="23" t="inlineStr">
        <is>
          <t>PRODUCT-SERVICE</t>
        </is>
      </c>
      <c r="I17" s="23" t="inlineStr">
        <is>
          <t>PolicyHandler.getReviewHistory</t>
        </is>
      </c>
      <c r="J17" s="23" t="inlineStr">
        <is>
          <t>PolicyService.getReviewHistory()</t>
        </is>
      </c>
      <c r="K17" s="23" t="inlineStr">
        <is>
          <t>History rows PENDING-&gt;ACTIVE/REJECTED changed by caller.</t>
        </is>
      </c>
      <c r="L17" s="23" t="inlineStr">
        <is>
          <t>-</t>
        </is>
      </c>
      <c r="M17" s="23" t="inlineStr">
        <is>
          <t>read</t>
        </is>
      </c>
      <c r="N17" s="23" t="inlineStr">
        <is>
          <t>-</t>
        </is>
      </c>
      <c r="O17" s="23" t="inlineStr">
        <is>
          <t>-</t>
        </is>
      </c>
      <c r="P17" s="23" t="inlineStr">
        <is>
          <t>Decision history table</t>
        </is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2E75B6"/>
    <outlinePr summaryBelow="1" summaryRight="1"/>
    <pageSetUpPr/>
  </sheetPr>
  <dimension ref="A1:P18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UJ-08  Premium Payment (simulated checkout)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Customer, Admin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Pay the premium for a policy and confirm the payment.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Customer clicks 'Pay premium' on /customer/payments.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Policy owned by customer; either bound to a CONSUMED quote or ACTIVE without quote; no SUCCESS payment yet.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Payment SUCCESS; financial transaction ledger entry; customer notified.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Financial-Svc, Product-Svc,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FINANCIAL -&gt; FINANCIAL-SERVICE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37.5" customHeight="1" s="20">
      <c r="A13" s="23" t="inlineStr">
        <is>
          <t>1</t>
        </is>
      </c>
      <c r="B13" s="23" t="inlineStr">
        <is>
          <t>Customer</t>
        </is>
      </c>
      <c r="C13" s="23" t="inlineStr">
        <is>
          <t>/customer/payments (CustomerPaymentsComponent)</t>
        </is>
      </c>
      <c r="D13" s="23" t="inlineStr">
        <is>
          <t>Opens payments</t>
        </is>
      </c>
      <c r="E13" s="23" t="inlineStr">
        <is>
          <t>loadMyPayments(), loadMyPayouts(), loadMyPolicies()</t>
        </is>
      </c>
      <c r="F13" s="14" t="inlineStr">
        <is>
          <t>GET</t>
        </is>
      </c>
      <c r="G13" s="23" t="inlineStr">
        <is>
          <t>/api/financial/payments/me  |  /api/financial/payouts/me  |  /api/policies/me</t>
        </is>
      </c>
      <c r="H13" s="23" t="inlineStr">
        <is>
          <t>FINANCIAL / PRODUCT</t>
        </is>
      </c>
      <c r="I13" s="23" t="inlineStr">
        <is>
          <t>PaymentHandler.findMine / PayoutHandler.findMine / PolicyHandler.getMyPolicies</t>
        </is>
      </c>
      <c r="J13" s="23" t="inlineStr">
        <is>
          <t>-</t>
        </is>
      </c>
      <c r="K13" s="23" t="inlineStr">
        <is>
          <t>Customer only.</t>
        </is>
      </c>
      <c r="L13" s="23" t="inlineStr">
        <is>
          <t>-</t>
        </is>
      </c>
      <c r="M13" s="23" t="inlineStr">
        <is>
          <t>read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Payments + payouts tabs, payable policies</t>
        </is>
      </c>
    </row>
    <row r="14" ht="50" customHeight="1" s="20">
      <c r="A14" s="23" t="inlineStr">
        <is>
          <t>2</t>
        </is>
      </c>
      <c r="B14" s="23" t="inlineStr">
        <is>
          <t>Customer</t>
        </is>
      </c>
      <c r="C14" s="23" t="inlineStr">
        <is>
          <t>/customer/payments</t>
        </is>
      </c>
      <c r="D14" s="23" t="inlineStr">
        <is>
          <t>Chooses policy + method (MOCK_CARD / MOCK_BANK_TRANSFER / MOCK_UPI) -&gt; Pay</t>
        </is>
      </c>
      <c r="E14" s="23" t="inlineStr">
        <is>
          <t>createPayment() -&gt; PaymentService.createPayment()</t>
        </is>
      </c>
      <c r="F14" s="14" t="inlineStr">
        <is>
          <t>POST</t>
        </is>
      </c>
      <c r="G14" s="23" t="inlineStr">
        <is>
          <t>/api/financial/payments</t>
        </is>
      </c>
      <c r="H14" s="23" t="inlineStr">
        <is>
          <t>FINANCIAL-SERVICE</t>
        </is>
      </c>
      <c r="I14" s="23" t="inlineStr">
        <is>
          <t>PaymentHandler.create</t>
        </is>
      </c>
      <c r="J14" s="23" t="inlineStr">
        <is>
          <t>PaymentService.create()</t>
        </is>
      </c>
      <c r="K14" s="23" t="inlineStr">
        <is>
          <t>Policy must belong to caller (403); quote optional; 409 if already paid. Checkout is simulated: the payment succeeds at once.</t>
        </is>
      </c>
      <c r="L14" s="23" t="inlineStr">
        <is>
          <t>Financial -&gt; Product-Svc GET /internal/policies/{policyId}; -&gt; Notification-Svc POST /internal/notifications (PAYMENT_SUCCESS)</t>
        </is>
      </c>
      <c r="M14" s="23" t="inlineStr">
        <is>
          <t>payments</t>
        </is>
      </c>
      <c r="N14" s="23" t="inlineStr">
        <is>
          <t>Payment: -&gt; SUCCESS</t>
        </is>
      </c>
      <c r="O14" s="23" t="inlineStr">
        <is>
          <t>PAYMENT_PENDING</t>
        </is>
      </c>
      <c r="P14" s="23" t="inlineStr">
        <is>
          <t>Payment row PENDING</t>
        </is>
      </c>
    </row>
    <row r="15" ht="37.5" customHeight="1" s="20">
      <c r="A15" s="23" t="inlineStr">
        <is>
          <t>3</t>
        </is>
      </c>
      <c r="B15" s="23" t="inlineStr">
        <is>
          <t>Admin (alt)</t>
        </is>
      </c>
      <c r="C15" s="23" t="inlineStr">
        <is>
          <t>/admin/payments</t>
        </is>
      </c>
      <c r="D15" s="23" t="inlineStr">
        <is>
          <t>Refunds</t>
        </is>
      </c>
      <c r="E15" s="23" t="inlineStr">
        <is>
          <t>refundPayment() -&gt; PaymentService.refundPayment()</t>
        </is>
      </c>
      <c r="F15" s="14" t="inlineStr">
        <is>
          <t>PUT</t>
        </is>
      </c>
      <c r="G15" s="23" t="inlineStr">
        <is>
          <t>/api/financial/payments/{paymentId}/refund</t>
        </is>
      </c>
      <c r="H15" s="23" t="inlineStr">
        <is>
          <t>FINANCIAL-SERVICE</t>
        </is>
      </c>
      <c r="I15" s="23" t="inlineStr">
        <is>
          <t>PaymentHandler.refund</t>
        </is>
      </c>
      <c r="J15" s="23" t="inlineStr">
        <is>
          <t>PaymentService.refund()</t>
        </is>
      </c>
      <c r="K15" s="23" t="inlineStr">
        <is>
          <t>Only SUCCESS.</t>
        </is>
      </c>
      <c r="L15" s="23" t="inlineStr">
        <is>
          <t>-&gt; Notification-Svc POST /internal/notifications (PAYMENT_REFUNDED, REFUND_PROCESSED)</t>
        </is>
      </c>
      <c r="M15" s="23" t="inlineStr">
        <is>
          <t>payments, financial_transactions</t>
        </is>
      </c>
      <c r="N15" s="23" t="inlineStr">
        <is>
          <t>Payment: SUCCESS -&gt; REFUNDED</t>
        </is>
      </c>
      <c r="O15" s="23" t="inlineStr">
        <is>
          <t>Refund notifications</t>
        </is>
      </c>
      <c r="P15" s="23" t="inlineStr">
        <is>
          <t>-</t>
        </is>
      </c>
    </row>
    <row r="16" ht="2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</row>
    <row r="17" ht="2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</row>
    <row r="18" ht="37.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2E75B6"/>
    <outlinePr summaryBelow="1" summaryRight="1"/>
    <pageSetUpPr/>
  </sheetPr>
  <dimension ref="A1:P19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UJ-09  Policy Servicing (view, certificate, renew, auto-renew, cancel)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Customer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Manage an existing policy over its life.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Customer opens /customer/policies or a policy detail page.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Customer owns the policy.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Certificate downloaded / renewal application created / auto-renew toggled / pending application cancelled.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Product-Svc, Trigger-Svc, Financial-Svc,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PRODUCT-SERVICE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25" customHeight="1" s="20">
      <c r="A13" s="23" t="inlineStr">
        <is>
          <t>1</t>
        </is>
      </c>
      <c r="B13" s="23" t="inlineStr">
        <is>
          <t>Customer</t>
        </is>
      </c>
      <c r="C13" s="23" t="inlineStr">
        <is>
          <t>/customer/policies (CustomerPoliciesComponent)</t>
        </is>
      </c>
      <c r="D13" s="23" t="inlineStr">
        <is>
          <t>Lists policies</t>
        </is>
      </c>
      <c r="E13" s="23" t="inlineStr">
        <is>
          <t>loadMyPolicies() -&gt; PolicyService.getMyPolicies()</t>
        </is>
      </c>
      <c r="F13" s="14" t="inlineStr">
        <is>
          <t>GET</t>
        </is>
      </c>
      <c r="G13" s="23" t="inlineStr">
        <is>
          <t>/api/policies/me</t>
        </is>
      </c>
      <c r="H13" s="23" t="inlineStr">
        <is>
          <t>PRODUCT-SERVICE</t>
        </is>
      </c>
      <c r="I13" s="23" t="inlineStr">
        <is>
          <t>PolicyHandler.getMyPolicies</t>
        </is>
      </c>
      <c r="J13" s="23" t="inlineStr">
        <is>
          <t>PolicyService.getMyPolicies()</t>
        </is>
      </c>
      <c r="K13" s="23" t="inlineStr">
        <is>
          <t>Optional status filter.</t>
        </is>
      </c>
      <c r="L13" s="23" t="inlineStr">
        <is>
          <t>-</t>
        </is>
      </c>
      <c r="M13" s="23" t="inlineStr">
        <is>
          <t>read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Policy cards with status badges</t>
        </is>
      </c>
    </row>
    <row r="14" ht="25" customHeight="1" s="20">
      <c r="A14" s="23" t="inlineStr">
        <is>
          <t>2</t>
        </is>
      </c>
      <c r="B14" s="23" t="inlineStr">
        <is>
          <t>Customer</t>
        </is>
      </c>
      <c r="C14" s="23" t="inlineStr">
        <is>
          <t>/customer/policies/:policyId</t>
        </is>
      </c>
      <c r="D14" s="23" t="inlineStr">
        <is>
          <t>Opens detail + trigger</t>
        </is>
      </c>
      <c r="E14" s="23" t="inlineStr">
        <is>
          <t>loadMyPolicy(); getPolicySnapshot()</t>
        </is>
      </c>
      <c r="F14" s="14" t="inlineStr">
        <is>
          <t>GET</t>
        </is>
      </c>
      <c r="G14" s="23" t="inlineStr">
        <is>
          <t>/api/policies/{policyId}  |  /api/policies/{policyId}/snapshot</t>
        </is>
      </c>
      <c r="H14" s="23" t="inlineStr">
        <is>
          <t>PRODUCT-SERVICE</t>
        </is>
      </c>
      <c r="I14" s="23" t="inlineStr">
        <is>
          <t>PolicyHandler.getMyPolicy / getPolicySnapshot</t>
        </is>
      </c>
      <c r="J14" s="23" t="inlineStr">
        <is>
          <t>-</t>
        </is>
      </c>
      <c r="K14" s="23" t="inlineStr">
        <is>
          <t>Own policy only.</t>
        </is>
      </c>
      <c r="L14" s="23" t="inlineStr">
        <is>
          <t>-</t>
        </is>
      </c>
      <c r="M14" s="23" t="inlineStr">
        <is>
          <t>read</t>
        </is>
      </c>
      <c r="N14" s="23" t="inlineStr">
        <is>
          <t>-</t>
        </is>
      </c>
      <c r="O14" s="23" t="inlineStr">
        <is>
          <t>-</t>
        </is>
      </c>
      <c r="P14" s="23" t="inlineStr">
        <is>
          <t>Detail + captured trigger + measurement status panel</t>
        </is>
      </c>
    </row>
    <row r="15" ht="25" customHeight="1" s="20">
      <c r="A15" s="23" t="inlineStr">
        <is>
          <t>3</t>
        </is>
      </c>
      <c r="B15" s="23" t="inlineStr">
        <is>
          <t>Customer</t>
        </is>
      </c>
      <c r="C15" s="23" t="inlineStr">
        <is>
          <t>/customer/policies/:policyId</t>
        </is>
      </c>
      <c r="D15" s="23" t="inlineStr">
        <is>
          <t>Downloads certificate</t>
        </is>
      </c>
      <c r="E15" s="23" t="inlineStr">
        <is>
          <t>PolicyService.downloadCertificate()</t>
        </is>
      </c>
      <c r="F15" s="14" t="inlineStr">
        <is>
          <t>GET</t>
        </is>
      </c>
      <c r="G15" s="23" t="inlineStr">
        <is>
          <t>/api/policies/{policyId}/certificate</t>
        </is>
      </c>
      <c r="H15" s="23" t="inlineStr">
        <is>
          <t>PRODUCT-SERVICE</t>
        </is>
      </c>
      <c r="I15" s="23" t="inlineStr">
        <is>
          <t>PolicyLifecycleHandler.customerCertificate</t>
        </is>
      </c>
      <c r="J15" s="23" t="inlineStr">
        <is>
          <t>PolicyCertificateService.forCustomer()</t>
        </is>
      </c>
      <c r="K15" s="23" t="inlineStr">
        <is>
          <t>Own policy.</t>
        </is>
      </c>
      <c r="L15" s="23" t="inlineStr">
        <is>
          <t>Product -&gt; Trigger-Svc GET /internal/triggers/zones/{zoneId}</t>
        </is>
      </c>
      <c r="M15" s="23" t="inlineStr">
        <is>
          <t>read</t>
        </is>
      </c>
      <c r="N15" s="23" t="inlineStr">
        <is>
          <t>-</t>
        </is>
      </c>
      <c r="O15" s="23" t="inlineStr">
        <is>
          <t>-</t>
        </is>
      </c>
      <c r="P15" s="23" t="inlineStr">
        <is>
          <t>PDF file download</t>
        </is>
      </c>
    </row>
    <row r="16" ht="37.5" customHeight="1" s="20">
      <c r="A16" s="23" t="inlineStr">
        <is>
          <t>4</t>
        </is>
      </c>
      <c r="B16" s="23" t="inlineStr">
        <is>
          <t>Customer</t>
        </is>
      </c>
      <c r="C16" s="23" t="inlineStr">
        <is>
          <t>/customer/policies/:policyId</t>
        </is>
      </c>
      <c r="D16" s="23" t="inlineStr">
        <is>
          <t>Clicks 'Renew'</t>
        </is>
      </c>
      <c r="E16" s="23" t="inlineStr">
        <is>
          <t>PolicyService.renewPolicy()</t>
        </is>
      </c>
      <c r="F16" s="14" t="inlineStr">
        <is>
          <t>POST</t>
        </is>
      </c>
      <c r="G16" s="23" t="inlineStr">
        <is>
          <t>/api/policies/{policyId}/renew</t>
        </is>
      </c>
      <c r="H16" s="23" t="inlineStr">
        <is>
          <t>PRODUCT-SERVICE</t>
        </is>
      </c>
      <c r="I16" s="23" t="inlineStr">
        <is>
          <t>PolicyLifecycleHandler.renew</t>
        </is>
      </c>
      <c r="J16" s="23" t="inlineStr">
        <is>
          <t>PolicyService.renewPolicy() -&gt; createRenewal()</t>
        </is>
      </c>
      <c r="K16" s="23" t="inlineStr">
        <is>
          <t>Only ACTIVE or EXPIRED; one pending renewal at a time.</t>
        </is>
      </c>
      <c r="L16" s="23" t="inlineStr">
        <is>
          <t>Product -&gt; Financial POST /internal/financial/pricing/calculate; -&gt; Notification-Svc POST /internal/notifications</t>
        </is>
      </c>
      <c r="M16" s="23" t="inlineStr">
        <is>
          <t>policies, policy_trigger_snapshots, policy_status_history</t>
        </is>
      </c>
      <c r="N16" s="23" t="inlineStr">
        <is>
          <t>New policy: PENDING (renewedFromPolicyId)</t>
        </is>
      </c>
      <c r="O16" s="23" t="inlineStr">
        <is>
          <t>POLICY_SUBMITTED</t>
        </is>
      </c>
      <c r="P16" s="23" t="inlineStr">
        <is>
          <t>Renewal visible as PENDING</t>
        </is>
      </c>
    </row>
    <row r="17">
      <c r="A17" s="23" t="inlineStr">
        <is>
          <t>5</t>
        </is>
      </c>
      <c r="B17" s="23" t="inlineStr">
        <is>
          <t>Customer</t>
        </is>
      </c>
      <c r="C17" s="23" t="inlineStr">
        <is>
          <t>/customer/policies/:policyId</t>
        </is>
      </c>
      <c r="D17" s="23" t="inlineStr">
        <is>
          <t>Toggles auto-renew</t>
        </is>
      </c>
      <c r="E17" s="23" t="inlineStr">
        <is>
          <t>PolicyService.setAutoRenew()</t>
        </is>
      </c>
      <c r="F17" s="14" t="inlineStr">
        <is>
          <t>PUT</t>
        </is>
      </c>
      <c r="G17" s="23" t="inlineStr">
        <is>
          <t>/api/policies/{policyId}/auto-renew</t>
        </is>
      </c>
      <c r="H17" s="23" t="inlineStr">
        <is>
          <t>PRODUCT-SERVICE</t>
        </is>
      </c>
      <c r="I17" s="23" t="inlineStr">
        <is>
          <t>PolicyLifecycleHandler.autoRenew</t>
        </is>
      </c>
      <c r="J17" s="23" t="inlineStr">
        <is>
          <t>PolicyService.setAutoRenew()</t>
        </is>
      </c>
      <c r="K17" s="23" t="inlineStr">
        <is>
          <t>Own policy.</t>
        </is>
      </c>
      <c r="L17" s="23" t="inlineStr">
        <is>
          <t>-</t>
        </is>
      </c>
      <c r="M17" s="23" t="inlineStr">
        <is>
          <t>policies</t>
        </is>
      </c>
      <c r="N17" s="23" t="inlineStr">
        <is>
          <t>autoRenew flag</t>
        </is>
      </c>
      <c r="O17" s="23" t="inlineStr">
        <is>
          <t>-</t>
        </is>
      </c>
      <c r="P17" s="23" t="inlineStr">
        <is>
          <t>Toggle state</t>
        </is>
      </c>
    </row>
    <row r="18" ht="37.5" customHeight="1" s="20">
      <c r="A18" s="23" t="inlineStr">
        <is>
          <t>6</t>
        </is>
      </c>
      <c r="B18" s="23" t="inlineStr">
        <is>
          <t>Customer</t>
        </is>
      </c>
      <c r="C18" s="23" t="inlineStr">
        <is>
          <t>/customer/policies/:policyId</t>
        </is>
      </c>
      <c r="D18" s="23" t="inlineStr">
        <is>
          <t>Cancels pending application</t>
        </is>
      </c>
      <c r="E18" s="23" t="inlineStr">
        <is>
          <t>cancelPolicy() -&gt; PolicyService.cancelPolicy()</t>
        </is>
      </c>
      <c r="F18" s="14" t="inlineStr">
        <is>
          <t>PUT</t>
        </is>
      </c>
      <c r="G18" s="23" t="inlineStr">
        <is>
          <t>/api/policies/{policyId}/cancel</t>
        </is>
      </c>
      <c r="H18" s="23" t="inlineStr">
        <is>
          <t>PRODUCT-SERVICE</t>
        </is>
      </c>
      <c r="I18" s="23" t="inlineStr">
        <is>
          <t>PolicyHandler.cancelPolicy</t>
        </is>
      </c>
      <c r="J18" s="23" t="inlineStr">
        <is>
          <t>PolicyService.cancelPolicy()</t>
        </is>
      </c>
      <c r="K18" s="23" t="inlineStr">
        <is>
          <t>Only PENDING policies can be cancelled.</t>
        </is>
      </c>
      <c r="L18" s="23" t="inlineStr">
        <is>
          <t>-&gt; Notification-Svc POST /internal/notifications (POLICY_CANCELLED)</t>
        </is>
      </c>
      <c r="M18" s="23" t="inlineStr">
        <is>
          <t>policies, policy_status_history</t>
        </is>
      </c>
      <c r="N18" s="23" t="inlineStr">
        <is>
          <t>Policy: PENDING -&gt; CANCELLED</t>
        </is>
      </c>
      <c r="O18" s="23" t="inlineStr">
        <is>
          <t>POLICY_CANCELLED</t>
        </is>
      </c>
      <c r="P18" s="23" t="inlineStr">
        <is>
          <t>Status updated</t>
        </is>
      </c>
    </row>
    <row r="19" ht="37.5" customHeight="1" s="20">
      <c r="A19" s="23" t="inlineStr">
        <is>
          <t>7</t>
        </is>
      </c>
      <c r="B19" s="23" t="inlineStr">
        <is>
          <t>System</t>
        </is>
      </c>
      <c r="C19" s="23" t="inlineStr">
        <is>
          <t>PolicyRenewalScheduler 01:30 daily / PolicyExpiryScheduler 01:00 daily</t>
        </is>
      </c>
      <c r="D19" s="23" t="inlineStr">
        <is>
          <t>Auto-renew &amp; expiry</t>
        </is>
      </c>
      <c r="E19" s="23" t="inlineStr">
        <is>
          <t>@Scheduled</t>
        </is>
      </c>
      <c r="F19" s="14" t="inlineStr">
        <is>
          <t>-</t>
        </is>
      </c>
      <c r="G19" s="23" t="inlineStr">
        <is>
          <t>(scheduled)</t>
        </is>
      </c>
      <c r="H19" s="23" t="inlineStr">
        <is>
          <t>PRODUCT-SERVICE</t>
        </is>
      </c>
      <c r="I19" s="23" t="inlineStr">
        <is>
          <t>-</t>
        </is>
      </c>
      <c r="J19" s="23" t="inlineStr">
        <is>
          <t>PolicyService.createAutomaticRenewal() / expirePolicy()</t>
        </is>
      </c>
      <c r="K19" s="23" t="inlineStr">
        <is>
          <t>autoRenew on: renewal application 14 days before end; off: reminders at 14 and 3 days; ACTIVE policies with endDate &lt;= today -&gt; EXPIRED.</t>
        </is>
      </c>
      <c r="L19" s="23" t="inlineStr">
        <is>
          <t>-&gt; Notification-Svc POST /internal/notifications (POLICY_RENEWAL_DUE, POLICY_EXPIRED)</t>
        </is>
      </c>
      <c r="M19" s="23" t="inlineStr">
        <is>
          <t>policies, policy_status_history</t>
        </is>
      </c>
      <c r="N19" s="23" t="inlineStr">
        <is>
          <t>Policy: ACTIVE -&gt; EXPIRED</t>
        </is>
      </c>
      <c r="O19" s="23" t="inlineStr">
        <is>
          <t>Renewal / expiry notifications</t>
        </is>
      </c>
      <c r="P19" s="23" t="inlineStr">
        <is>
          <t>-</t>
        </is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2E75B6"/>
    <outlinePr summaryBelow="1" summaryRight="1"/>
    <pageSetUpPr/>
  </sheetPr>
  <dimension ref="A1:P19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UJ-10  Admin Product Setup &amp; Trigger Threshold Management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Admin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Create, configure, activate and tune parametric products.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Admin opens /admin/products.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Signed in as ADMIN; perils and zones configured.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Product ACTIVE with complete trigger; threshold history maintained.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Product-Svc, Trigger-Svc, Financial-Svc,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PRODUCT-SERVICE -&gt; FINANCIAL-SERVICE -&gt; PRODUCT-SERVICE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25" customHeight="1" s="20">
      <c r="A13" s="23" t="inlineStr">
        <is>
          <t>1</t>
        </is>
      </c>
      <c r="B13" s="23" t="inlineStr">
        <is>
          <t>Admin</t>
        </is>
      </c>
      <c r="C13" s="23" t="inlineStr">
        <is>
          <t>/admin/products (AdminProductsComponent)</t>
        </is>
      </c>
      <c r="D13" s="23" t="inlineStr">
        <is>
          <t>Lists products</t>
        </is>
      </c>
      <c r="E13" s="23" t="inlineStr">
        <is>
          <t>loadAdminProducts() -&gt; ProductService.getAdminProducts()</t>
        </is>
      </c>
      <c r="F13" s="14" t="inlineStr">
        <is>
          <t>GET</t>
        </is>
      </c>
      <c r="G13" s="23" t="inlineStr">
        <is>
          <t>/api/products/admin/all</t>
        </is>
      </c>
      <c r="H13" s="23" t="inlineStr">
        <is>
          <t>PRODUCT-SERVICE</t>
        </is>
      </c>
      <c r="I13" s="23" t="inlineStr">
        <is>
          <t>ProductHandler.getAllProducts</t>
        </is>
      </c>
      <c r="J13" s="23" t="inlineStr">
        <is>
          <t>ProductService.getAllProducts()</t>
        </is>
      </c>
      <c r="K13" s="23" t="inlineStr">
        <is>
          <t>ADMIN.</t>
        </is>
      </c>
      <c r="L13" s="23" t="inlineStr">
        <is>
          <t>-</t>
        </is>
      </c>
      <c r="M13" s="23" t="inlineStr">
        <is>
          <t>read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All products, all statuses</t>
        </is>
      </c>
    </row>
    <row r="14" ht="37.5" customHeight="1" s="20">
      <c r="A14" s="23" t="inlineStr">
        <is>
          <t>2</t>
        </is>
      </c>
      <c r="B14" s="23" t="inlineStr">
        <is>
          <t>Admin</t>
        </is>
      </c>
      <c r="C14" s="23" t="inlineStr">
        <is>
          <t>/admin/products/new (AdminProductNewComponent)</t>
        </is>
      </c>
      <c r="D14" s="23" t="inlineStr">
        <is>
          <t>Creates product</t>
        </is>
      </c>
      <c r="E14" s="23" t="inlineStr">
        <is>
          <t>createProduct() -&gt; ProductService.createProduct()</t>
        </is>
      </c>
      <c r="F14" s="14" t="inlineStr">
        <is>
          <t>POST</t>
        </is>
      </c>
      <c r="G14" s="23" t="inlineStr">
        <is>
          <t>/api/products</t>
        </is>
      </c>
      <c r="H14" s="23" t="inlineStr">
        <is>
          <t>PRODUCT-SERVICE</t>
        </is>
      </c>
      <c r="I14" s="23" t="inlineStr">
        <is>
          <t>ProductHandler.createProduct</t>
        </is>
      </c>
      <c r="J14" s="23" t="inlineStr">
        <is>
          <t>ProductService.createProduct()</t>
        </is>
      </c>
      <c r="K14" s="23" t="inlineStr">
        <is>
          <t>Unique product code (409); valid category; min &lt;= max SI/term; trigger config (peril, measurement type/unit compatible, threshold, operator, aggregation, window, min observations).</t>
        </is>
      </c>
      <c r="L14" s="23" t="inlineStr">
        <is>
          <t>-&gt; Notification-Svc POST /internal/notifications (PRODUCT_CREATED)</t>
        </is>
      </c>
      <c r="M14" s="23" t="inlineStr">
        <is>
          <t>products, coverages</t>
        </is>
      </c>
      <c r="N14" s="23" t="inlineStr">
        <is>
          <t>Product: -&gt; DRAFT</t>
        </is>
      </c>
      <c r="O14" s="23" t="inlineStr">
        <is>
          <t>PRODUCT_CREATED</t>
        </is>
      </c>
      <c r="P14" s="23" t="inlineStr">
        <is>
          <t>Redirect to product list</t>
        </is>
      </c>
    </row>
    <row r="15" ht="37.5" customHeight="1" s="20">
      <c r="A15" s="23" t="inlineStr">
        <is>
          <t>3</t>
        </is>
      </c>
      <c r="B15" s="23" t="inlineStr">
        <is>
          <t>Admin</t>
        </is>
      </c>
      <c r="C15" s="23" t="inlineStr">
        <is>
          <t>/admin/products/:productId (AdminProductEditComponent)</t>
        </is>
      </c>
      <c r="D15" s="23" t="inlineStr">
        <is>
          <t>Edits product</t>
        </is>
      </c>
      <c r="E15" s="23" t="inlineStr">
        <is>
          <t>updateProduct() -&gt; ProductService.updateProduct()</t>
        </is>
      </c>
      <c r="F15" s="14" t="inlineStr">
        <is>
          <t>PUT</t>
        </is>
      </c>
      <c r="G15" s="23" t="inlineStr">
        <is>
          <t>/api/products/{productId}</t>
        </is>
      </c>
      <c r="H15" s="23" t="inlineStr">
        <is>
          <t>PRODUCT-SERVICE</t>
        </is>
      </c>
      <c r="I15" s="23" t="inlineStr">
        <is>
          <t>ProductHandler.updateProduct</t>
        </is>
      </c>
      <c r="J15" s="23" t="inlineStr">
        <is>
          <t>ProductService.updateProduct()</t>
        </is>
      </c>
      <c r="K15" s="23" t="inlineStr">
        <is>
          <t>Trigger must remain complete; if trigger changed a threshold-history row is written.</t>
        </is>
      </c>
      <c r="L15" s="23" t="inlineStr">
        <is>
          <t>-&gt; Notification-Svc POST /internal/notifications (PRODUCT_UPDATED)</t>
        </is>
      </c>
      <c r="M15" s="23" t="inlineStr">
        <is>
          <t>products, coverages, product_threshold_history</t>
        </is>
      </c>
      <c r="N15" s="23" t="inlineStr">
        <is>
          <t>-</t>
        </is>
      </c>
      <c r="O15" s="23" t="inlineStr">
        <is>
          <t>PRODUCT_UPDATED</t>
        </is>
      </c>
      <c r="P15" s="23" t="inlineStr">
        <is>
          <t>Saved</t>
        </is>
      </c>
    </row>
    <row r="16" ht="25" customHeight="1" s="20">
      <c r="A16" s="23" t="inlineStr">
        <is>
          <t>4</t>
        </is>
      </c>
      <c r="B16" s="23" t="inlineStr">
        <is>
          <t>Admin</t>
        </is>
      </c>
      <c r="C16" s="23" t="inlineStr">
        <is>
          <t>/admin/products</t>
        </is>
      </c>
      <c r="D16" s="23" t="inlineStr">
        <is>
          <t>Activates product</t>
        </is>
      </c>
      <c r="E16" s="23" t="inlineStr">
        <is>
          <t>updateProductStatus() -&gt; ProductService.updateProductStatus()</t>
        </is>
      </c>
      <c r="F16" s="14" t="inlineStr">
        <is>
          <t>PUT</t>
        </is>
      </c>
      <c r="G16" s="23" t="inlineStr">
        <is>
          <t>/api/products/{productId}/status</t>
        </is>
      </c>
      <c r="H16" s="23" t="inlineStr">
        <is>
          <t>PRODUCT-SERVICE</t>
        </is>
      </c>
      <c r="I16" s="23" t="inlineStr">
        <is>
          <t>ProductHandler.updateStatus</t>
        </is>
      </c>
      <c r="J16" s="23" t="inlineStr">
        <is>
          <t>ProductService.updateStatus()</t>
        </is>
      </c>
      <c r="K16" s="23" t="inlineStr">
        <is>
          <t>ACTIVE requires complete trigger; ARCHIVED requires no open policies.</t>
        </is>
      </c>
      <c r="L16" s="23" t="inlineStr">
        <is>
          <t>-</t>
        </is>
      </c>
      <c r="M16" s="23" t="inlineStr">
        <is>
          <t>products</t>
        </is>
      </c>
      <c r="N16" s="23" t="inlineStr">
        <is>
          <t>Product: DRAFT -&gt; ACTIVE (-&gt; INACTIVE / ARCHIVED)</t>
        </is>
      </c>
      <c r="O16" s="23" t="inlineStr">
        <is>
          <t>-</t>
        </is>
      </c>
      <c r="P16" s="23" t="inlineStr">
        <is>
          <t>Product visible in public catalogue</t>
        </is>
      </c>
    </row>
    <row r="17" ht="25" customHeight="1" s="20">
      <c r="A17" s="23" t="inlineStr">
        <is>
          <t>5</t>
        </is>
      </c>
      <c r="B17" s="23" t="inlineStr">
        <is>
          <t>System</t>
        </is>
      </c>
      <c r="C17" s="23" t="inlineStr">
        <is>
          <t>DefaultPricingRuleScheduler (20 s after start, then every 60 s)</t>
        </is>
      </c>
      <c r="D17" s="23" t="inlineStr">
        <is>
          <t>Provision default pricing rule</t>
        </is>
      </c>
      <c r="E17" s="23" t="inlineStr">
        <is>
          <t>@Scheduled</t>
        </is>
      </c>
      <c r="F17" s="14" t="inlineStr">
        <is>
          <t>GET</t>
        </is>
      </c>
      <c r="G17" s="23" t="inlineStr">
        <is>
          <t>/internal/products</t>
        </is>
      </c>
      <c r="H17" s="23" t="inlineStr">
        <is>
          <t>FINANCIAL-SERVICE</t>
        </is>
      </c>
      <c r="I17" s="23" t="inlineStr">
        <is>
          <t>-</t>
        </is>
      </c>
      <c r="J17" s="23" t="inlineStr">
        <is>
          <t>DefaultPricingRuleProvisioner.provisionMissingRules()</t>
        </is>
      </c>
      <c r="K17" s="23" t="inlineStr">
        <is>
          <t>Creates an ACTIVE default rule for each product lacking one, so quotes/pricing work.</t>
        </is>
      </c>
      <c r="L17" s="23" t="inlineStr">
        <is>
          <t>Financial -&gt; Product-Svc GET /internal/products</t>
        </is>
      </c>
      <c r="M17" s="23" t="inlineStr">
        <is>
          <t>pricing_rules</t>
        </is>
      </c>
      <c r="N17" s="23" t="inlineStr">
        <is>
          <t>PricingRule: -&gt; ACTIVE</t>
        </is>
      </c>
      <c r="O17" s="23" t="inlineStr">
        <is>
          <t>-</t>
        </is>
      </c>
      <c r="P17" s="23" t="inlineStr">
        <is>
          <t>-</t>
        </is>
      </c>
    </row>
    <row r="18" ht="37.5" customHeight="1" s="20">
      <c r="A18" s="23" t="inlineStr">
        <is>
          <t>6</t>
        </is>
      </c>
      <c r="B18" s="23" t="inlineStr">
        <is>
          <t>Admin</t>
        </is>
      </c>
      <c r="C18" s="23" t="inlineStr">
        <is>
          <t>/admin/product-thresholds -&gt; /admin/products/:id/threshold</t>
        </is>
      </c>
      <c r="D18" s="23" t="inlineStr">
        <is>
          <t>Changes threshold with reason</t>
        </is>
      </c>
      <c r="E18" s="23" t="inlineStr">
        <is>
          <t>updateProductThreshold() -&gt; ProductService.updateThreshold(); loadProductThresholdHistory()</t>
        </is>
      </c>
      <c r="F18" s="14" t="inlineStr">
        <is>
          <t>PUT / GET</t>
        </is>
      </c>
      <c r="G18" s="23" t="inlineStr">
        <is>
          <t>/api/products/admin/{productId}/threshold  |  /api/products/admin/{productId}/threshold-history</t>
        </is>
      </c>
      <c r="H18" s="23" t="inlineStr">
        <is>
          <t>PRODUCT-SERVICE</t>
        </is>
      </c>
      <c r="I18" s="23" t="inlineStr">
        <is>
          <t>ProductHandler.updateThreshold / getThresholdHistory</t>
        </is>
      </c>
      <c r="J18" s="23" t="inlineStr">
        <is>
          <t>ProductService.updateThreshold() / getThresholdHistory()</t>
        </is>
      </c>
      <c r="K18" s="23" t="inlineStr">
        <is>
          <t>Peril/measurement/unit compatibility; previous values captured. Existing policies keep their snapshot (existingPoliciesUpdated=false).</t>
        </is>
      </c>
      <c r="L18" s="23" t="inlineStr">
        <is>
          <t>-</t>
        </is>
      </c>
      <c r="M18" s="23" t="inlineStr">
        <is>
          <t>products, product_threshold_history</t>
        </is>
      </c>
      <c r="N18" s="23" t="inlineStr">
        <is>
          <t>-</t>
        </is>
      </c>
      <c r="O18" s="23" t="inlineStr">
        <is>
          <t>-</t>
        </is>
      </c>
      <c r="P18" s="23" t="inlineStr">
        <is>
          <t>Old -&gt; new threshold shown with history</t>
        </is>
      </c>
    </row>
    <row r="19" ht="25" customHeight="1" s="20">
      <c r="A19" s="23" t="inlineStr">
        <is>
          <t>7</t>
        </is>
      </c>
      <c r="B19" s="23" t="inlineStr">
        <is>
          <t>Admin</t>
        </is>
      </c>
      <c r="C19" s="23" t="inlineStr">
        <is>
          <t>/admin/products</t>
        </is>
      </c>
      <c r="D19" s="23" t="inlineStr">
        <is>
          <t>Archives product</t>
        </is>
      </c>
      <c r="E19" s="23" t="inlineStr">
        <is>
          <t>deleteProduct() -&gt; ProductService.deleteProduct()</t>
        </is>
      </c>
      <c r="F19" s="14" t="inlineStr">
        <is>
          <t>DELETE</t>
        </is>
      </c>
      <c r="G19" s="23" t="inlineStr">
        <is>
          <t>/api/products/{productId}</t>
        </is>
      </c>
      <c r="H19" s="23" t="inlineStr">
        <is>
          <t>PRODUCT-SERVICE</t>
        </is>
      </c>
      <c r="I19" s="23" t="inlineStr">
        <is>
          <t>ProductHandler.deleteProduct</t>
        </is>
      </c>
      <c r="J19" s="23" t="inlineStr">
        <is>
          <t>ProductService.deleteProduct()</t>
        </is>
      </c>
      <c r="K19" s="23" t="inlineStr">
        <is>
          <t>Blocked while PENDING/ACTIVE policies exist.</t>
        </is>
      </c>
      <c r="L19" s="23" t="inlineStr">
        <is>
          <t>-</t>
        </is>
      </c>
      <c r="M19" s="23" t="inlineStr">
        <is>
          <t>products</t>
        </is>
      </c>
      <c r="N19" s="23" t="inlineStr">
        <is>
          <t>Product: -&gt; ARCHIVED</t>
        </is>
      </c>
      <c r="O19" s="23" t="inlineStr">
        <is>
          <t>-</t>
        </is>
      </c>
      <c r="P19" s="23" t="inlineStr">
        <is>
          <t>Removed from list</t>
        </is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2E75B6"/>
    <outlinePr summaryBelow="1" summaryRight="1"/>
    <pageSetUpPr/>
  </sheetPr>
  <dimension ref="A1:P17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UJ-11  Admin Reference Data: Zones, Perils, Pricing Rules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Admin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Maintain the geographic zones, peril catalogue and pricing rules used by products, quotes and triggers.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Admin opens /admin/zones, /admin/perils or /admin/pricing-rules.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Signed in as ADMIN.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Reference data created, updated, archived and restored.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Trigger-Svc, Financial-Svc, Product-Svc,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TRIGGER-SERVICE -&gt; FINANCIAL-SERVICE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39" customHeight="1" s="20">
      <c r="A13" s="23" t="inlineStr">
        <is>
          <t>1</t>
        </is>
      </c>
      <c r="B13" s="23" t="inlineStr">
        <is>
          <t>Admin</t>
        </is>
      </c>
      <c r="C13" s="23" t="inlineStr">
        <is>
          <t>/admin/zones (AdminZonesComponent)</t>
        </is>
      </c>
      <c r="D13" s="23" t="inlineStr">
        <is>
          <t>Lists / creates / edits zones</t>
        </is>
      </c>
      <c r="E13" s="23" t="inlineStr">
        <is>
          <t>loadZones(), createZone(), updateZone(), updateZoneStatus()</t>
        </is>
      </c>
      <c r="F13" s="14" t="inlineStr">
        <is>
          <t>GET / POST / PUT</t>
        </is>
      </c>
      <c r="G13" s="23" t="inlineStr">
        <is>
          <t>/api/triggers/zones  |  /api/triggers/zones/{zoneId}  |  /api/triggers/zones/{zoneId}/status</t>
        </is>
      </c>
      <c r="H13" s="23" t="inlineStr">
        <is>
          <t>TRIGGER-SERVICE :8087</t>
        </is>
      </c>
      <c r="I13" s="23" t="inlineStr">
        <is>
          <t>LocationZoneHandler.getAll / create / update / updateStatus</t>
        </is>
      </c>
      <c r="J13" s="23" t="inlineStr">
        <is>
          <t>LocationZoneService.*</t>
        </is>
      </c>
      <c r="K13" s="23" t="inlineStr">
        <is>
          <t>ADMIN for writes; unique zone code; lat/long ranges.</t>
        </is>
      </c>
      <c r="L13" s="23" t="inlineStr">
        <is>
          <t>-</t>
        </is>
      </c>
      <c r="M13" s="23" t="inlineStr">
        <is>
          <t>location_zones</t>
        </is>
      </c>
      <c r="N13" s="23" t="inlineStr">
        <is>
          <t>Zone: ACTIVE / INACTIVE</t>
        </is>
      </c>
      <c r="O13" s="23" t="inlineStr">
        <is>
          <t>-</t>
        </is>
      </c>
      <c r="P13" s="23" t="inlineStr">
        <is>
          <t>Zone table + map</t>
        </is>
      </c>
    </row>
    <row r="14" ht="25" customHeight="1" s="20">
      <c r="A14" s="23" t="inlineStr">
        <is>
          <t>2</t>
        </is>
      </c>
      <c r="B14" s="23" t="inlineStr">
        <is>
          <t>Admin</t>
        </is>
      </c>
      <c r="C14" s="23" t="inlineStr">
        <is>
          <t>/admin/zones</t>
        </is>
      </c>
      <c r="D14" s="23" t="inlineStr">
        <is>
          <t>Archives zone</t>
        </is>
      </c>
      <c r="E14" s="23" t="inlineStr">
        <is>
          <t>archiveZone() -&gt; ZoneService.archiveZone()</t>
        </is>
      </c>
      <c r="F14" s="14" t="inlineStr">
        <is>
          <t>DELETE</t>
        </is>
      </c>
      <c r="G14" s="23" t="inlineStr">
        <is>
          <t>/api/triggers/zones/{zoneId}</t>
        </is>
      </c>
      <c r="H14" s="23" t="inlineStr">
        <is>
          <t>TRIGGER-SERVICE</t>
        </is>
      </c>
      <c r="I14" s="23" t="inlineStr">
        <is>
          <t>LocationZoneHandler.archive</t>
        </is>
      </c>
      <c r="J14" s="23" t="inlineStr">
        <is>
          <t>LocationZoneService.archive()</t>
        </is>
      </c>
      <c r="K14" s="23" t="inlineStr">
        <is>
          <t>409 if pending/active policies reference the zone.</t>
        </is>
      </c>
      <c r="L14" s="23" t="inlineStr">
        <is>
          <t>Trigger -&gt; Product-Svc GET /internal/policies/zone/{zoneId}/has-active</t>
        </is>
      </c>
      <c r="M14" s="23" t="inlineStr">
        <is>
          <t>location_zones</t>
        </is>
      </c>
      <c r="N14" s="23" t="inlineStr">
        <is>
          <t>Zone: -&gt; ARCHIVED</t>
        </is>
      </c>
      <c r="O14" s="23" t="inlineStr">
        <is>
          <t>-</t>
        </is>
      </c>
      <c r="P14" s="23" t="inlineStr">
        <is>
          <t>-</t>
        </is>
      </c>
    </row>
    <row r="15" ht="52" customHeight="1" s="20">
      <c r="A15" s="23" t="inlineStr">
        <is>
          <t>3</t>
        </is>
      </c>
      <c r="B15" s="23" t="inlineStr">
        <is>
          <t>Admin</t>
        </is>
      </c>
      <c r="C15" s="23" t="inlineStr">
        <is>
          <t>/admin/perils (AdminPerilsComponent)</t>
        </is>
      </c>
      <c r="D15" s="23" t="inlineStr">
        <is>
          <t>Manages perils</t>
        </is>
      </c>
      <c r="E15" s="23" t="inlineStr">
        <is>
          <t>loadPerils(), createPeril(), updatePeril(), updatePerilStatus(), archivePeril()</t>
        </is>
      </c>
      <c r="F15" s="14" t="inlineStr">
        <is>
          <t>GET / POST / PUT / DELETE</t>
        </is>
      </c>
      <c r="G15" s="23" t="inlineStr">
        <is>
          <t>/api/triggers/perils  |  /api/triggers/perils/{perilId}  |  /api/triggers/perils/{perilId}/status</t>
        </is>
      </c>
      <c r="H15" s="23" t="inlineStr">
        <is>
          <t>TRIGGER-SERVICE</t>
        </is>
      </c>
      <c r="I15" s="23" t="inlineStr">
        <is>
          <t>PerilHandler.*</t>
        </is>
      </c>
      <c r="J15" s="23" t="inlineStr">
        <is>
          <t>PerilService.*</t>
        </is>
      </c>
      <c r="K15" s="23" t="inlineStr">
        <is>
          <t>ADMIN for writes; peril type (EXCESS_RAINFALL, FLOOD, DROUGHT, ...) and measurement type/unit.</t>
        </is>
      </c>
      <c r="L15" s="23" t="inlineStr">
        <is>
          <t>-</t>
        </is>
      </c>
      <c r="M15" s="23" t="inlineStr">
        <is>
          <t>perils</t>
        </is>
      </c>
      <c r="N15" s="23" t="inlineStr">
        <is>
          <t>Peril: ACTIVE / INACTIVE / ARCHIVED</t>
        </is>
      </c>
      <c r="O15" s="23" t="inlineStr">
        <is>
          <t>-</t>
        </is>
      </c>
      <c r="P15" s="23" t="inlineStr">
        <is>
          <t>-</t>
        </is>
      </c>
    </row>
    <row r="16" ht="50" customHeight="1" s="20">
      <c r="A16" s="23" t="inlineStr">
        <is>
          <t>4</t>
        </is>
      </c>
      <c r="B16" s="23" t="inlineStr">
        <is>
          <t>Admin</t>
        </is>
      </c>
      <c r="C16" s="23" t="inlineStr">
        <is>
          <t>/admin/pricing-rules (AdminPricingRulesComponent)</t>
        </is>
      </c>
      <c r="D16" s="23" t="inlineStr">
        <is>
          <t>Creates pricing rule</t>
        </is>
      </c>
      <c r="E16" s="23" t="inlineStr">
        <is>
          <t>createPricingRule() -&gt; PricingRuleService.createRule()</t>
        </is>
      </c>
      <c r="F16" s="14" t="inlineStr">
        <is>
          <t>POST</t>
        </is>
      </c>
      <c r="G16" s="23" t="inlineStr">
        <is>
          <t>/api/financial/pricing-rules</t>
        </is>
      </c>
      <c r="H16" s="23" t="inlineStr">
        <is>
          <t>FINANCIAL-SERVICE</t>
        </is>
      </c>
      <c r="I16" s="23" t="inlineStr">
        <is>
          <t>PricingRuleHandler.create</t>
        </is>
      </c>
      <c r="J16" s="23" t="inlineStr">
        <is>
          <t>PricingRuleService.create()</t>
        </is>
      </c>
      <c r="K16" s="23" t="inlineStr">
        <is>
          <t>ADMIN; product must be ACTIVE; zone (optional) must be ACTIVE; rates/factors positive.</t>
        </is>
      </c>
      <c r="L16" s="23" t="inlineStr">
        <is>
          <t>Financial -&gt; Product-Svc GET /internal/products/{id}; Financial -&gt; Trigger-Svc GET /internal/triggers/zones/{zoneId}; -&gt; Notification-Svc POST /internal/notifications (PRICING_RULE_CREATED)</t>
        </is>
      </c>
      <c r="M16" s="23" t="inlineStr">
        <is>
          <t>pricing_rules</t>
        </is>
      </c>
      <c r="N16" s="23" t="inlineStr">
        <is>
          <t>Rule: -&gt; DRAFT/ACTIVE</t>
        </is>
      </c>
      <c r="O16" s="23" t="inlineStr">
        <is>
          <t>PRICING_RULE_CREATED</t>
        </is>
      </c>
      <c r="P16" s="23" t="inlineStr">
        <is>
          <t>Rule listed</t>
        </is>
      </c>
    </row>
    <row r="17" ht="39" customHeight="1" s="20">
      <c r="A17" s="23" t="inlineStr">
        <is>
          <t>5</t>
        </is>
      </c>
      <c r="B17" s="23" t="inlineStr">
        <is>
          <t>Admin</t>
        </is>
      </c>
      <c r="C17" s="23" t="inlineStr">
        <is>
          <t>/admin/pricing-rules</t>
        </is>
      </c>
      <c r="D17" s="23" t="inlineStr">
        <is>
          <t>Updates / changes status / archives</t>
        </is>
      </c>
      <c r="E17" s="23" t="inlineStr">
        <is>
          <t>updatePricingRule(), updatePricingRuleStatus(), archivePricingRule()</t>
        </is>
      </c>
      <c r="F17" s="14" t="inlineStr">
        <is>
          <t>PUT / PUT / DELETE</t>
        </is>
      </c>
      <c r="G17" s="23" t="inlineStr">
        <is>
          <t>/api/financial/pricing-rules/{ruleId}  |  .../{ruleId}/status  |  .../{ruleId}</t>
        </is>
      </c>
      <c r="H17" s="23" t="inlineStr">
        <is>
          <t>FINANCIAL-SERVICE</t>
        </is>
      </c>
      <c r="I17" s="23" t="inlineStr">
        <is>
          <t>PricingRuleHandler.update / updateStatus / archive</t>
        </is>
      </c>
      <c r="J17" s="23" t="inlineStr">
        <is>
          <t>PricingRuleService.update() / updateStatus() / archive()</t>
        </is>
      </c>
      <c r="K17" s="23" t="inlineStr">
        <is>
          <t>Re-validates product &amp; zone.</t>
        </is>
      </c>
      <c r="L17" s="23" t="inlineStr">
        <is>
          <t>-&gt; Notification-Svc POST /internal/notifications (PRICING_RULE_UPDATED)</t>
        </is>
      </c>
      <c r="M17" s="23" t="inlineStr">
        <is>
          <t>pricing_rules</t>
        </is>
      </c>
      <c r="N17" s="23" t="inlineStr">
        <is>
          <t>Rule status changes</t>
        </is>
      </c>
      <c r="O17" s="23" t="inlineStr">
        <is>
          <t>-</t>
        </is>
      </c>
      <c r="P17" s="23" t="inlineStr">
        <is>
          <t>-</t>
        </is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2E75B6"/>
    <outlinePr summaryBelow="1" summaryRight="1"/>
    <pageSetUpPr/>
  </sheetPr>
  <dimension ref="A1:P19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UJ-12  Automatic Parametric Claim via Measurement Console (primary flow)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Admin (measurement operator), System, Customer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Record a live measurement; if it breaches any active policy's captured trigger, create a trigger event and automatic claims for every matching policy.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Admin enters a current value on /admin/current-measurements.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Product ACTIVE; zone ACTIVE; ACTIVE policies with trigger snapshots in that zone.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VERIFIED trigger event; one AUTO_TRIGGERED claim (SUBMITTED, claimedAmount = sum insured) per matched policy; customers &amp; officers notified.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Trigger-Svc, Product-Svc, Claims-Svc,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PRODUCT -&gt; TRIGGER-SERVICE -&gt; PRODUCT-SERVICE -&gt; TRIGGER-SERVICE -&gt; CLAIMS-SERVICE -&gt; NOTIFICATION-SERVICE -&gt; NOTIFICATION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62.5" customHeight="1" s="20">
      <c r="A13" s="23" t="inlineStr">
        <is>
          <t>1</t>
        </is>
      </c>
      <c r="B13" s="23" t="inlineStr">
        <is>
          <t>Admin</t>
        </is>
      </c>
      <c r="C13" s="23" t="inlineStr">
        <is>
          <t>/admin/current-measurements (AdminCurrentMeasurementsComponent)</t>
        </is>
      </c>
      <c r="D13" s="23" t="inlineStr">
        <is>
          <t>Opens console</t>
        </is>
      </c>
      <c r="E13" s="23" t="inlineStr">
        <is>
          <t>productService.getAdminProducts(); zoneService.getActiveZones(); measurementService.getCurrentMeasurements(); ProductService.getAdminMeasurementStatus()</t>
        </is>
      </c>
      <c r="F13" s="14" t="inlineStr">
        <is>
          <t>GET</t>
        </is>
      </c>
      <c r="G13" s="23" t="inlineStr">
        <is>
          <t>/api/products/admin/all  |  /api/triggers/zones/active  |  /api/triggers/current-measurements  |  /api/products/admin/measurement-status</t>
        </is>
      </c>
      <c r="H13" s="23" t="inlineStr">
        <is>
          <t>PRODUCT / TRIGGER</t>
        </is>
      </c>
      <c r="I13" s="23" t="inlineStr">
        <is>
          <t>ProductHandler.getAllProducts / getMeasurementStatus; MeasurementHandler.getCurrentMeasurementSnapshots</t>
        </is>
      </c>
      <c r="J13" s="23" t="inlineStr">
        <is>
          <t>ProductService.getMeasurementStatus()</t>
        </is>
      </c>
      <c r="K13" s="23" t="inlineStr">
        <is>
          <t>Measurement status view pulls current values from Trigger-Svc.</t>
        </is>
      </c>
      <c r="L13" s="23" t="inlineStr">
        <is>
          <t>Product -&gt; Trigger-Svc GET /internal/triggers/measurements/current</t>
        </is>
      </c>
      <c r="M13" s="23" t="inlineStr">
        <is>
          <t>read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Grid of product x zone with value vs threshold</t>
        </is>
      </c>
    </row>
    <row r="14" ht="37.5" customHeight="1" s="20">
      <c r="A14" s="23" t="inlineStr">
        <is>
          <t>2</t>
        </is>
      </c>
      <c r="B14" s="23" t="inlineStr">
        <is>
          <t>Admin</t>
        </is>
      </c>
      <c r="C14" s="23" t="inlineStr">
        <is>
          <t>/admin/current-measurements</t>
        </is>
      </c>
      <c r="D14" s="23" t="inlineStr">
        <is>
          <t>Enters current value for product + zone and submits</t>
        </is>
      </c>
      <c r="E14" s="23" t="inlineStr">
        <is>
          <t>measurementService.process()</t>
        </is>
      </c>
      <c r="F14" s="14" t="inlineStr">
        <is>
          <t>PUT</t>
        </is>
      </c>
      <c r="G14" s="23" t="inlineStr">
        <is>
          <t>/api/triggers/current-measurements</t>
        </is>
      </c>
      <c r="H14" s="23" t="inlineStr">
        <is>
          <t>TRIGGER-SERVICE :8087</t>
        </is>
      </c>
      <c r="I14" s="23" t="inlineStr">
        <is>
          <t>MeasurementHandler.processCurrentMeasurement</t>
        </is>
      </c>
      <c r="J14" s="23" t="inlineStr">
        <is>
          <t>MeasurementService.processCurrentMeasurement()</t>
        </is>
      </c>
      <c r="K14" s="23" t="inlineStr">
        <is>
          <t>ADMIN only; idempotencyKey - duplicate request returns previous result; product must be ACTIVE with trigger config; zone must be ACTIVE.</t>
        </is>
      </c>
      <c r="L14" s="23" t="inlineStr">
        <is>
          <t>Trigger -&gt; Product-Svc GET /internal/products/{productId}</t>
        </is>
      </c>
      <c r="M14" s="23" t="inlineStr">
        <is>
          <t>idempotency_records (check)</t>
        </is>
      </c>
      <c r="N14" s="23" t="inlineStr">
        <is>
          <t>-</t>
        </is>
      </c>
      <c r="O14" s="23" t="inlineStr">
        <is>
          <t>-</t>
        </is>
      </c>
      <c r="P14" s="23" t="inlineStr">
        <is>
          <t>(continues)</t>
        </is>
      </c>
    </row>
    <row r="15" ht="25" customHeight="1" s="20">
      <c r="A15" s="23" t="inlineStr">
        <is>
          <t>3</t>
        </is>
      </c>
      <c r="B15" s="23" t="inlineStr">
        <is>
          <t>Trigger-Svc (system)</t>
        </is>
      </c>
      <c r="C15" s="23" t="inlineStr">
        <is>
          <t>-</t>
        </is>
      </c>
      <c r="D15" s="23" t="inlineStr">
        <is>
          <t>Store value &amp; load active policies</t>
        </is>
      </c>
      <c r="E15" s="23" t="inlineStr">
        <is>
          <t>ProductTriggerClient.getActivePolicies()</t>
        </is>
      </c>
      <c r="F15" s="14" t="inlineStr">
        <is>
          <t>GET</t>
        </is>
      </c>
      <c r="G15" s="23" t="inlineStr">
        <is>
          <t>/internal/policies/active-for-trigger?productId&amp;locationZoneId</t>
        </is>
      </c>
      <c r="H15" s="23" t="inlineStr">
        <is>
          <t>PRODUCT-SERVICE</t>
        </is>
      </c>
      <c r="I15" s="23" t="inlineStr">
        <is>
          <t>InternalPolicyHandler.getEligiblePolicies</t>
        </is>
      </c>
      <c r="J15" s="23" t="inlineStr">
        <is>
          <t>ProductService.getEligiblePoliciesForEvent()</t>
        </is>
      </c>
      <c r="K15" s="23" t="inlineStr">
        <is>
          <t>ACTIVE policies of product in zone with trigger snapshots.</t>
        </is>
      </c>
      <c r="L15" s="23" t="inlineStr">
        <is>
          <t>Trigger -&gt; Product (lb://PRODUCT-SERVICE)</t>
        </is>
      </c>
      <c r="M15" s="23" t="inlineStr">
        <is>
          <t>current_measurements (upsert)</t>
        </is>
      </c>
      <c r="N15" s="23" t="inlineStr">
        <is>
          <t>-</t>
        </is>
      </c>
      <c r="O15" s="23" t="inlineStr">
        <is>
          <t>-</t>
        </is>
      </c>
      <c r="P15" s="23" t="inlineStr">
        <is>
          <t>-</t>
        </is>
      </c>
    </row>
    <row r="16" ht="25" customHeight="1" s="20">
      <c r="A16" s="23" t="inlineStr">
        <is>
          <t>4</t>
        </is>
      </c>
      <c r="B16" s="23" t="inlineStr">
        <is>
          <t>Trigger-Svc (system)</t>
        </is>
      </c>
      <c r="C16" s="23" t="inlineStr">
        <is>
          <t>-</t>
        </is>
      </c>
      <c r="D16" s="23" t="inlineStr">
        <is>
          <t>Compare value with each policy snapshot</t>
        </is>
      </c>
      <c r="E16" s="23" t="inlineStr">
        <is>
          <t>MeasurementService.buildProcessingResult()</t>
        </is>
      </c>
      <c r="F16" s="14" t="inlineStr">
        <is>
          <t>-</t>
        </is>
      </c>
      <c r="G16" s="23" t="inlineStr">
        <is>
          <t>(internal)</t>
        </is>
      </c>
      <c r="H16" s="23" t="inlineStr">
        <is>
          <t>TRIGGER-SERVICE</t>
        </is>
      </c>
      <c r="I16" s="23" t="inlineStr">
        <is>
          <t>-</t>
        </is>
      </c>
      <c r="J16" s="23" t="inlineStr">
        <is>
          <t>compare(current, snapshot.threshold, snapshot.operator)</t>
        </is>
      </c>
      <c r="K16" s="23" t="inlineStr">
        <is>
          <t>Each policy judged against ITS OWN captured threshold/operator. No match -&gt; result matched=false, no event.</t>
        </is>
      </c>
      <c r="L16" s="23" t="inlineStr">
        <is>
          <t>-</t>
        </is>
      </c>
      <c r="M16" s="23" t="inlineStr">
        <is>
          <t>trigger_events (if matched)</t>
        </is>
      </c>
      <c r="N16" s="23" t="inlineStr">
        <is>
          <t>TriggerEvent: -&gt; VERIFIED (ref TEV-&lt;uuid&gt;)</t>
        </is>
      </c>
      <c r="O16" s="23" t="inlineStr">
        <is>
          <t>-</t>
        </is>
      </c>
      <c r="P16" s="23" t="inlineStr">
        <is>
          <t>-</t>
        </is>
      </c>
    </row>
    <row r="17" ht="37.5" customHeight="1" s="20">
      <c r="A17" s="23" t="inlineStr">
        <is>
          <t>5</t>
        </is>
      </c>
      <c r="B17" s="23" t="inlineStr">
        <is>
          <t>Trigger-Svc (system)</t>
        </is>
      </c>
      <c r="C17" s="23" t="inlineStr">
        <is>
          <t>-</t>
        </is>
      </c>
      <c r="D17" s="23" t="inlineStr">
        <is>
          <t>Create automatic claims</t>
        </is>
      </c>
      <c r="E17" s="23" t="inlineStr">
        <is>
          <t>ClaimsServiceClient.createClaimsFromTriggerEvent()</t>
        </is>
      </c>
      <c r="F17" s="14" t="inlineStr">
        <is>
          <t>POST</t>
        </is>
      </c>
      <c r="G17" s="23" t="inlineStr">
        <is>
          <t>/internal/claims/from-trigger-event</t>
        </is>
      </c>
      <c r="H17" s="23" t="inlineStr">
        <is>
          <t>CLAIMS-SERVICE :8083</t>
        </is>
      </c>
      <c r="I17" s="23" t="inlineStr">
        <is>
          <t>ClaimHandler.createClaimsFromTriggerEvent</t>
        </is>
      </c>
      <c r="J17" s="23" t="inlineStr">
        <is>
          <t>ClaimService.createClaimsFromTriggerEvent()</t>
        </is>
      </c>
      <c r="K17" s="23" t="inlineStr">
        <is>
          <t>Idempotent per (policyId, triggerEventId) -&gt; EXISTING; claimedAmount = sum insured; claimSource AUTO_TRIGGERED; trigger values copied onto claim.</t>
        </is>
      </c>
      <c r="L17" s="23" t="inlineStr">
        <is>
          <t>Trigger -&gt; Claims (lb://CLAIMS-SERVICE); Claims -&gt; Notification-Svc POST /internal/notifications (CLAIM_SUBMITTED to customer, pending review to CLAIMS_OFFICER)</t>
        </is>
      </c>
      <c r="M17" s="23" t="inlineStr">
        <is>
          <t>claims, claim_timeline</t>
        </is>
      </c>
      <c r="N17" s="23" t="inlineStr">
        <is>
          <t>Claim: -&gt; SUBMITTED</t>
        </is>
      </c>
      <c r="O17" s="23" t="inlineStr">
        <is>
          <t>CLAIM_SUBMITTED</t>
        </is>
      </c>
      <c r="P17" s="23" t="inlineStr">
        <is>
          <t>Per-policy results CREATED / EXISTING / FAILED</t>
        </is>
      </c>
    </row>
    <row r="18" ht="37.5" customHeight="1" s="20">
      <c r="A18" s="23" t="inlineStr">
        <is>
          <t>6</t>
        </is>
      </c>
      <c r="B18" s="23" t="inlineStr">
        <is>
          <t>Customer</t>
        </is>
      </c>
      <c r="C18" s="23" t="inlineStr">
        <is>
          <t>/customer/dashboard, /customer/claims, header bell</t>
        </is>
      </c>
      <c r="D18" s="23" t="inlineStr">
        <is>
          <t>Sees new automatic claim</t>
        </is>
      </c>
      <c r="E18" s="23" t="inlineStr">
        <is>
          <t>SSE NotificationPushService.connect(); loadMyClaims()</t>
        </is>
      </c>
      <c r="F18" s="14" t="inlineStr">
        <is>
          <t>GET</t>
        </is>
      </c>
      <c r="G18" s="23" t="inlineStr">
        <is>
          <t>/api/notifications/me/stream?access_token=...  |  /api/claims/me</t>
        </is>
      </c>
      <c r="H18" s="23" t="inlineStr">
        <is>
          <t>NOTIFICATION / CLAIMS</t>
        </is>
      </c>
      <c r="I18" s="23" t="inlineStr">
        <is>
          <t>NotificationHandler.stream / ClaimHandler.getMyClaims</t>
        </is>
      </c>
      <c r="J18" s="23" t="inlineStr">
        <is>
          <t>NotificationService.stream() / ClaimService.getMyClaims()</t>
        </is>
      </c>
      <c r="K18" s="23" t="inlineStr">
        <is>
          <t>SSE token passed as query param (gateway allows for this path).</t>
        </is>
      </c>
      <c r="L18" s="23" t="inlineStr">
        <is>
          <t>-</t>
        </is>
      </c>
      <c r="M18" s="23" t="inlineStr">
        <is>
          <t>read</t>
        </is>
      </c>
      <c r="N18" s="23" t="inlineStr">
        <is>
          <t>-</t>
        </is>
      </c>
      <c r="O18" s="23" t="inlineStr">
        <is>
          <t>Live toast + unread badge</t>
        </is>
      </c>
      <c r="P18" s="23" t="inlineStr">
        <is>
          <t>Claim listed as SUBMITTED (AUTO_TRIGGERED)</t>
        </is>
      </c>
    </row>
    <row r="19" ht="2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2E75B6"/>
    <outlinePr summaryBelow="1" summaryRight="1"/>
    <pageSetUpPr/>
  </sheetPr>
  <dimension ref="A1:P17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UJ-13  Customer Manual Claim (exception) with Evidence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Customer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Claim when a loss occurred but no automatic claim was created.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Customer opens /customer/claims/new.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Customer owns an ACTIVE policy.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Claim SUBMITTED as MANUAL_EXCEPTION (flagged for manual review) with documents.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Claims-Svc, Product-Svc, Financial-Svc,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PRODUCT-SERVICE -&gt; CLAIMS-SERVICE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25" customHeight="1" s="20">
      <c r="A13" s="23" t="inlineStr">
        <is>
          <t>1</t>
        </is>
      </c>
      <c r="B13" s="23" t="inlineStr">
        <is>
          <t>Customer</t>
        </is>
      </c>
      <c r="C13" s="23" t="inlineStr">
        <is>
          <t>/customer/claims/new (CustomerClaimNewComponent)</t>
        </is>
      </c>
      <c r="D13" s="23" t="inlineStr">
        <is>
          <t>Opens form</t>
        </is>
      </c>
      <c r="E13" s="23" t="inlineStr">
        <is>
          <t>loadMyPolicies(); PolicyService.getPolicySnapshot()</t>
        </is>
      </c>
      <c r="F13" s="14" t="inlineStr">
        <is>
          <t>GET</t>
        </is>
      </c>
      <c r="G13" s="23" t="inlineStr">
        <is>
          <t>/api/policies/me  |  /api/policies/{policyId}/snapshot</t>
        </is>
      </c>
      <c r="H13" s="23" t="inlineStr">
        <is>
          <t>PRODUCT-SERVICE</t>
        </is>
      </c>
      <c r="I13" s="23" t="inlineStr">
        <is>
          <t>PolicyHandler.getMyPolicies / getPolicySnapshot</t>
        </is>
      </c>
      <c r="J13" s="23" t="inlineStr">
        <is>
          <t>-</t>
        </is>
      </c>
      <c r="K13" s="23" t="inlineStr">
        <is>
          <t>Only ACTIVE policies selectable.</t>
        </is>
      </c>
      <c r="L13" s="23" t="inlineStr">
        <is>
          <t>-</t>
        </is>
      </c>
      <c r="M13" s="23" t="inlineStr">
        <is>
          <t>read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Policy picker + trigger explanation</t>
        </is>
      </c>
    </row>
    <row r="14" ht="62.5" customHeight="1" s="20">
      <c r="A14" s="23" t="inlineStr">
        <is>
          <t>2</t>
        </is>
      </c>
      <c r="B14" s="23" t="inlineStr">
        <is>
          <t>Customer</t>
        </is>
      </c>
      <c r="C14" s="23" t="inlineStr">
        <is>
          <t>/customer/claims/new</t>
        </is>
      </c>
      <c r="D14" s="23" t="inlineStr">
        <is>
          <t>Submits claim (incident date/type/location, amount, claimSource, evidence, confirmation)</t>
        </is>
      </c>
      <c r="E14" s="23" t="inlineStr">
        <is>
          <t>createClaim() -&gt; ClaimService.createClaim()</t>
        </is>
      </c>
      <c r="F14" s="14" t="inlineStr">
        <is>
          <t>POST</t>
        </is>
      </c>
      <c r="G14" s="23" t="inlineStr">
        <is>
          <t>/api/claims</t>
        </is>
      </c>
      <c r="H14" s="23" t="inlineStr">
        <is>
          <t>CLAIMS-SERVICE :8083</t>
        </is>
      </c>
      <c r="I14" s="23" t="inlineStr">
        <is>
          <t>ClaimHandler.createClaim</t>
        </is>
      </c>
      <c r="J14" s="23" t="inlineStr">
        <is>
          <t>ClaimService.createClaim()</t>
        </is>
      </c>
      <c r="K14" s="23" t="inlineStr">
        <is>
          <t>Policy owned &amp; ACTIVE; premium paid; incident within coverage; customerConfirmedLoss=true + evidenceDescription required; no duplicate manual claim the same date.</t>
        </is>
      </c>
      <c r="L14" s="23" t="inlineStr">
        <is>
          <t>Claims -&gt; Product-Svc GET /internal/policies/{id}; Claims -&gt; Financial-Svc premium-paid check; -&gt; Notification-Svc POST /internal/notifications (MANUAL_CLAIM_SUBMITTED, pending review)</t>
        </is>
      </c>
      <c r="M14" s="23" t="inlineStr">
        <is>
          <t>claims, claim_timeline</t>
        </is>
      </c>
      <c r="N14" s="23" t="inlineStr">
        <is>
          <t>Claim: -&gt; SUBMITTED (MANUAL_EXCEPTION, manualReviewRequired)</t>
        </is>
      </c>
      <c r="O14" s="23" t="inlineStr">
        <is>
          <t>Customer + claims officers notified</t>
        </is>
      </c>
      <c r="P14" s="23" t="inlineStr">
        <is>
          <t>(continues with upload)</t>
        </is>
      </c>
    </row>
    <row r="15" ht="39" customHeight="1" s="20">
      <c r="A15" s="23" t="inlineStr">
        <is>
          <t>3</t>
        </is>
      </c>
      <c r="B15" s="23" t="inlineStr">
        <is>
          <t>Customer</t>
        </is>
      </c>
      <c r="C15" s="23" t="inlineStr">
        <is>
          <t>/customer/claims/new (same effect)</t>
        </is>
      </c>
      <c r="D15" s="23" t="inlineStr">
        <is>
          <t>Uploads photos / PDFs</t>
        </is>
      </c>
      <c r="E15" s="23" t="inlineStr">
        <is>
          <t>createClaim$ effect -&gt; ClaimService.uploadDocuments()</t>
        </is>
      </c>
      <c r="F15" s="14" t="inlineStr">
        <is>
          <t>POST (multipart)</t>
        </is>
      </c>
      <c r="G15" s="23" t="inlineStr">
        <is>
          <t>/api/claims/{claimId}/documents</t>
        </is>
      </c>
      <c r="H15" s="23" t="inlineStr">
        <is>
          <t>CLAIMS-SERVICE</t>
        </is>
      </c>
      <c r="I15" s="23" t="inlineStr">
        <is>
          <t>ClaimDocumentHandler.upload</t>
        </is>
      </c>
      <c r="J15" s="23" t="inlineStr">
        <is>
          <t>ClaimDocumentService.upload()</t>
        </is>
      </c>
      <c r="K15" s="23" t="inlineStr">
        <is>
          <t>Own claim; allowed file types/size; stored on disk (~/.climatesure/uploads).</t>
        </is>
      </c>
      <c r="L15" s="23" t="inlineStr">
        <is>
          <t>-</t>
        </is>
      </c>
      <c r="M15" s="23" t="inlineStr">
        <is>
          <t>claim_documents (+ files)</t>
        </is>
      </c>
      <c r="N15" s="23" t="inlineStr">
        <is>
          <t>-</t>
        </is>
      </c>
      <c r="O15" s="23" t="inlineStr">
        <is>
          <t>-</t>
        </is>
      </c>
      <c r="P15" s="23" t="inlineStr">
        <is>
          <t>Redirect to claim detail</t>
        </is>
      </c>
    </row>
    <row r="16" ht="37.5" customHeight="1" s="20">
      <c r="A16" s="23" t="inlineStr">
        <is>
          <t>4</t>
        </is>
      </c>
      <c r="B16" s="23" t="inlineStr">
        <is>
          <t>Customer</t>
        </is>
      </c>
      <c r="C16" s="23" t="inlineStr">
        <is>
          <t>/customer/claims/:claimId (CustomerClaimDetailComponent)</t>
        </is>
      </c>
      <c r="D16" s="23" t="inlineStr">
        <is>
          <t>Tracks claim</t>
        </is>
      </c>
      <c r="E16" s="23" t="inlineStr">
        <is>
          <t>loadMyClaim(); getMyClaimTimeline(); getMyDocuments()</t>
        </is>
      </c>
      <c r="F16" s="14" t="inlineStr">
        <is>
          <t>GET</t>
        </is>
      </c>
      <c r="G16" s="23" t="inlineStr">
        <is>
          <t>/api/claims/{claimId}  |  /api/claims/{claimId}/timeline  |  /api/claims/{claimId}/documents</t>
        </is>
      </c>
      <c r="H16" s="23" t="inlineStr">
        <is>
          <t>CLAIMS-SERVICE</t>
        </is>
      </c>
      <c r="I16" s="23" t="inlineStr">
        <is>
          <t>ClaimHandler.getMyClaim / getMyClaimTimeline; ClaimDocumentHandler.listMine</t>
        </is>
      </c>
      <c r="J16" s="23" t="inlineStr">
        <is>
          <t>-</t>
        </is>
      </c>
      <c r="K16" s="23" t="inlineStr">
        <is>
          <t>Own claim.</t>
        </is>
      </c>
      <c r="L16" s="23" t="inlineStr">
        <is>
          <t>-</t>
        </is>
      </c>
      <c r="M16" s="23" t="inlineStr">
        <is>
          <t>read</t>
        </is>
      </c>
      <c r="N16" s="23" t="inlineStr">
        <is>
          <t>-</t>
        </is>
      </c>
      <c r="O16" s="23" t="inlineStr">
        <is>
          <t>-</t>
        </is>
      </c>
      <c r="P16" s="23" t="inlineStr">
        <is>
          <t>Status, timeline, documents; list and detail reload when a claim notification arrives</t>
        </is>
      </c>
    </row>
    <row r="17" ht="37.5" customHeight="1" s="20">
      <c r="A17" s="23" t="inlineStr">
        <is>
          <t>5</t>
        </is>
      </c>
      <c r="B17" s="23" t="inlineStr">
        <is>
          <t>Customer (alt)</t>
        </is>
      </c>
      <c r="C17" s="23" t="inlineStr">
        <is>
          <t>/customer/claims/:claimId</t>
        </is>
      </c>
      <c r="D17" s="23" t="inlineStr">
        <is>
          <t>Cancels claim</t>
        </is>
      </c>
      <c r="E17" s="23" t="inlineStr">
        <is>
          <t>cancelClaim() -&gt; ClaimService.cancelClaim()</t>
        </is>
      </c>
      <c r="F17" s="14" t="inlineStr">
        <is>
          <t>PUT</t>
        </is>
      </c>
      <c r="G17" s="23" t="inlineStr">
        <is>
          <t>/api/claims/{claimId}/cancel</t>
        </is>
      </c>
      <c r="H17" s="23" t="inlineStr">
        <is>
          <t>CLAIMS-SERVICE</t>
        </is>
      </c>
      <c r="I17" s="23" t="inlineStr">
        <is>
          <t>ClaimHandler.cancelClaim</t>
        </is>
      </c>
      <c r="J17" s="23" t="inlineStr">
        <is>
          <t>ClaimService.cancelClaim()</t>
        </is>
      </c>
      <c r="K17" s="23" t="inlineStr">
        <is>
          <t>Only SUBMITTED.</t>
        </is>
      </c>
      <c r="L17" s="23" t="inlineStr">
        <is>
          <t>-&gt; Notification-Svc POST /internal/notifications (CLAIM_CANCELLED)</t>
        </is>
      </c>
      <c r="M17" s="23" t="inlineStr">
        <is>
          <t>claims, claim_timeline</t>
        </is>
      </c>
      <c r="N17" s="23" t="inlineStr">
        <is>
          <t>Claim: SUBMITTED -&gt; CANCELLED</t>
        </is>
      </c>
      <c r="O17" s="23" t="inlineStr">
        <is>
          <t>CLAIM_CANCELLED</t>
        </is>
      </c>
      <c r="P17" s="23" t="inlineStr">
        <is>
          <t>-</t>
        </is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2E75B6"/>
    <outlinePr summaryBelow="1" summaryRight="1"/>
    <pageSetUpPr/>
  </sheetPr>
  <dimension ref="A1:P20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UJ-14  Claims Officer Review (start, approve -&gt; payout, reject, settle)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Claims Officer (or Admin)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Adjudicate submitted claims and trigger payout.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Officer opens /claims-officer/claims.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Claims in SUBMITTED; officer has ROLE_CLAIMS_OFFICER (ROLE_CLAIMS_REVIEWER mapped to CLAIMS_OFFICER by gateway) or ADMIN.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Claim APPROVED with PENDING payout (or REJECTED); later SETTLED.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Claims-Svc, Financial-Svc,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CLAIMS -&gt; CLAIMS-SERVICE -&gt; FINANCIAL-SERVICE -&gt; CLAIMS-SERVICE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25" customHeight="1" s="20">
      <c r="A13" s="23" t="inlineStr">
        <is>
          <t>1</t>
        </is>
      </c>
      <c r="B13" s="23" t="inlineStr">
        <is>
          <t>Claims Officer</t>
        </is>
      </c>
      <c r="C13" s="23" t="inlineStr">
        <is>
          <t>/claims-officer/dashboard, /claims-officer/claims</t>
        </is>
      </c>
      <c r="D13" s="23" t="inlineStr">
        <is>
          <t>Opens queue</t>
        </is>
      </c>
      <c r="E13" s="23" t="inlineStr">
        <is>
          <t>loadSubmittedClaims(), loadTriggerEvents()</t>
        </is>
      </c>
      <c r="F13" s="14" t="inlineStr">
        <is>
          <t>GET</t>
        </is>
      </c>
      <c r="G13" s="23" t="inlineStr">
        <is>
          <t>/api/claims/review/submitted  |  /api/triggers/events</t>
        </is>
      </c>
      <c r="H13" s="23" t="inlineStr">
        <is>
          <t>CLAIMS / TRIGGER</t>
        </is>
      </c>
      <c r="I13" s="23" t="inlineStr">
        <is>
          <t>ClaimHandler.getSubmittedClaims / TriggerEventHandler.getAll</t>
        </is>
      </c>
      <c r="J13" s="23" t="inlineStr">
        <is>
          <t>ClaimService.getSubmittedClaims()</t>
        </is>
      </c>
      <c r="K13" s="23" t="inlineStr">
        <is>
          <t>CLAIMS_OFFICER / ADMIN.</t>
        </is>
      </c>
      <c r="L13" s="23" t="inlineStr">
        <is>
          <t>-</t>
        </is>
      </c>
      <c r="M13" s="23" t="inlineStr">
        <is>
          <t>read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Queue of SUBMITTED + UNDER_REVIEW claims</t>
        </is>
      </c>
    </row>
    <row r="14" ht="37.5" customHeight="1" s="20">
      <c r="A14" s="23" t="inlineStr">
        <is>
          <t>2</t>
        </is>
      </c>
      <c r="B14" s="23" t="inlineStr">
        <is>
          <t>Claims Officer</t>
        </is>
      </c>
      <c r="C14" s="23" t="inlineStr">
        <is>
          <t>/claims-officer/claims/:claimId (ClaimsOfficerClaimDetailComponent)</t>
        </is>
      </c>
      <c r="D14" s="23" t="inlineStr">
        <is>
          <t>Opens claim</t>
        </is>
      </c>
      <c r="E14" s="23" t="inlineStr">
        <is>
          <t>loadReviewClaim(); getReviewDocuments(); downloadReviewDocument()</t>
        </is>
      </c>
      <c r="F14" s="14" t="inlineStr">
        <is>
          <t>GET</t>
        </is>
      </c>
      <c r="G14" s="23" t="inlineStr">
        <is>
          <t>/api/claims/review/{claimId}  |  /api/claims/review/{claimId}/documents  |  .../documents/{documentId}</t>
        </is>
      </c>
      <c r="H14" s="23" t="inlineStr">
        <is>
          <t>CLAIMS-SERVICE</t>
        </is>
      </c>
      <c r="I14" s="23" t="inlineStr">
        <is>
          <t>ClaimHandler.getClaim; ClaimDocumentHandler.listForReview / downloadForReview</t>
        </is>
      </c>
      <c r="J14" s="23" t="inlineStr">
        <is>
          <t>ClaimService.getClaim(); ClaimDocumentService.listForStaff()</t>
        </is>
      </c>
      <c r="K14" s="23" t="inlineStr">
        <is>
          <t>Staff access to any claim.</t>
        </is>
      </c>
      <c r="L14" s="23" t="inlineStr">
        <is>
          <t>-</t>
        </is>
      </c>
      <c r="M14" s="23" t="inlineStr">
        <is>
          <t>read</t>
        </is>
      </c>
      <c r="N14" s="23" t="inlineStr">
        <is>
          <t>-</t>
        </is>
      </c>
      <c r="O14" s="23" t="inlineStr">
        <is>
          <t>-</t>
        </is>
      </c>
      <c r="P14" s="23" t="inlineStr">
        <is>
          <t>Claim, trigger evidence, documents</t>
        </is>
      </c>
    </row>
    <row r="15" ht="37.5" customHeight="1" s="20">
      <c r="A15" s="23" t="inlineStr">
        <is>
          <t>3</t>
        </is>
      </c>
      <c r="B15" s="23" t="inlineStr">
        <is>
          <t>Claims Officer</t>
        </is>
      </c>
      <c r="C15" s="23" t="inlineStr">
        <is>
          <t>/claims-officer/claims/:claimId</t>
        </is>
      </c>
      <c r="D15" s="23" t="inlineStr">
        <is>
          <t>Starts review</t>
        </is>
      </c>
      <c r="E15" s="23" t="inlineStr">
        <is>
          <t>startClaimReview() -&gt; ClaimService.startReview()</t>
        </is>
      </c>
      <c r="F15" s="14" t="inlineStr">
        <is>
          <t>PUT</t>
        </is>
      </c>
      <c r="G15" s="23" t="inlineStr">
        <is>
          <t>/api/claims/{claimId}/start-review</t>
        </is>
      </c>
      <c r="H15" s="23" t="inlineStr">
        <is>
          <t>CLAIMS-SERVICE</t>
        </is>
      </c>
      <c r="I15" s="23" t="inlineStr">
        <is>
          <t>ClaimHandler.startReview</t>
        </is>
      </c>
      <c r="J15" s="23" t="inlineStr">
        <is>
          <t>ClaimService.startReview()</t>
        </is>
      </c>
      <c r="K15" s="23" t="inlineStr">
        <is>
          <t>Only SUBMITTED.</t>
        </is>
      </c>
      <c r="L15" s="23" t="inlineStr">
        <is>
          <t>-&gt; Notification-Svc POST /internal/notifications (CLAIM_UNDER_REVIEW)</t>
        </is>
      </c>
      <c r="M15" s="23" t="inlineStr">
        <is>
          <t>claims, claim_timeline</t>
        </is>
      </c>
      <c r="N15" s="23" t="inlineStr">
        <is>
          <t>Claim: SUBMITTED -&gt; UNDER_REVIEW</t>
        </is>
      </c>
      <c r="O15" s="23" t="inlineStr">
        <is>
          <t>CLAIM_UNDER_REVIEW</t>
        </is>
      </c>
      <c r="P15" s="23" t="inlineStr">
        <is>
          <t>-</t>
        </is>
      </c>
    </row>
    <row r="16" ht="37.5" customHeight="1" s="20">
      <c r="A16" s="23" t="inlineStr">
        <is>
          <t>4</t>
        </is>
      </c>
      <c r="B16" s="23" t="inlineStr">
        <is>
          <t>Claims Officer</t>
        </is>
      </c>
      <c r="C16" s="23" t="inlineStr">
        <is>
          <t>/claims-officer/claims/:claimId</t>
        </is>
      </c>
      <c r="D16" s="23" t="inlineStr">
        <is>
          <t>Approves with amount</t>
        </is>
      </c>
      <c r="E16" s="23" t="inlineStr">
        <is>
          <t>approveClaim() -&gt; ClaimService.approveClaim()</t>
        </is>
      </c>
      <c r="F16" s="14" t="inlineStr">
        <is>
          <t>PUT</t>
        </is>
      </c>
      <c r="G16" s="23" t="inlineStr">
        <is>
          <t>/api/claims/{claimId}/approve</t>
        </is>
      </c>
      <c r="H16" s="23" t="inlineStr">
        <is>
          <t>CLAIMS-SERVICE</t>
        </is>
      </c>
      <c r="I16" s="23" t="inlineStr">
        <is>
          <t>ClaimHandler.approveClaim</t>
        </is>
      </c>
      <c r="J16" s="23" t="inlineStr">
        <is>
          <t>ClaimService.approveClaim() then ClaimService.requestPayout()</t>
        </is>
      </c>
      <c r="K16" s="23" t="inlineStr">
        <is>
          <t>Only UNDER_REVIEW; approvedAmount &gt; 0 and &lt;= claimedAmount.</t>
        </is>
      </c>
      <c r="L16" s="23" t="inlineStr">
        <is>
          <t>-&gt; Notification-Svc POST /internal/notifications (CLAIM_APPROVED)</t>
        </is>
      </c>
      <c r="M16" s="23" t="inlineStr">
        <is>
          <t>claims, claim_timeline</t>
        </is>
      </c>
      <c r="N16" s="23" t="inlineStr">
        <is>
          <t>Claim: UNDER_REVIEW -&gt; APPROVED</t>
        </is>
      </c>
      <c r="O16" s="23" t="inlineStr">
        <is>
          <t>CLAIM_APPROVED</t>
        </is>
      </c>
      <c r="P16" s="23" t="inlineStr">
        <is>
          <t>(continues - payout)</t>
        </is>
      </c>
    </row>
    <row r="17" ht="50" customHeight="1" s="20">
      <c r="A17" s="23" t="inlineStr">
        <is>
          <t>5</t>
        </is>
      </c>
      <c r="B17" s="23" t="inlineStr">
        <is>
          <t>Claims-Svc (system)</t>
        </is>
      </c>
      <c r="C17" s="23" t="inlineStr">
        <is>
          <t>-</t>
        </is>
      </c>
      <c r="D17" s="23" t="inlineStr">
        <is>
          <t>Request payout</t>
        </is>
      </c>
      <c r="E17" s="23" t="inlineStr">
        <is>
          <t>FinancialServiceClient.createPayoutForClaim()</t>
        </is>
      </c>
      <c r="F17" s="14" t="inlineStr">
        <is>
          <t>POST</t>
        </is>
      </c>
      <c r="G17" s="23" t="inlineStr">
        <is>
          <t>/internal/financial/payouts</t>
        </is>
      </c>
      <c r="H17" s="23" t="inlineStr">
        <is>
          <t>FINANCIAL-SERVICE</t>
        </is>
      </c>
      <c r="I17" s="23" t="inlineStr">
        <is>
          <t>PayoutHandler.createInternal</t>
        </is>
      </c>
      <c r="J17" s="23" t="inlineStr">
        <is>
          <t>PayoutService.create()</t>
        </is>
      </c>
      <c r="K17" s="23" t="inlineStr">
        <is>
          <t>Claim must be APPROVED with approvedAmount; one payout per claim (409 swallowed by caller).</t>
        </is>
      </c>
      <c r="L17" s="23" t="inlineStr">
        <is>
          <t>Claims -&gt; Financial-Svc POST /internal/financial/payouts; Financial -&gt; Claims-Svc GET /internal/claims/{claimId}; -&gt; Notification-Svc POST /internal/notifications (PAYOUT_PROCESSED); Financial -&gt; Claims-Svc PUT /internal/claims/{claimId}/settle</t>
        </is>
      </c>
      <c r="M17" s="23" t="inlineStr">
        <is>
          <t>payouts, financial_transactions</t>
        </is>
      </c>
      <c r="N17" s="23" t="inlineStr">
        <is>
          <t>Payout: -&gt; SUCCESS; Claim: APPROVED -&gt; SETTLED</t>
        </is>
      </c>
      <c r="O17" s="23" t="inlineStr">
        <is>
          <t>PAYOUT_PENDING</t>
        </is>
      </c>
      <c r="P17" s="23" t="inlineStr">
        <is>
          <t>Officer sees APPROVED; customer sees pending payout</t>
        </is>
      </c>
    </row>
    <row r="18" ht="37.5" customHeight="1" s="20">
      <c r="A18" s="23" t="inlineStr">
        <is>
          <t>6</t>
        </is>
      </c>
      <c r="B18" s="23" t="inlineStr">
        <is>
          <t>Claims Officer (alt)</t>
        </is>
      </c>
      <c r="C18" s="23" t="inlineStr">
        <is>
          <t>/claims-officer/claims/:claimId</t>
        </is>
      </c>
      <c r="D18" s="23" t="inlineStr">
        <is>
          <t>Rejects with reason</t>
        </is>
      </c>
      <c r="E18" s="23" t="inlineStr">
        <is>
          <t>rejectClaim() -&gt; ClaimService.rejectClaim()</t>
        </is>
      </c>
      <c r="F18" s="14" t="inlineStr">
        <is>
          <t>PUT</t>
        </is>
      </c>
      <c r="G18" s="23" t="inlineStr">
        <is>
          <t>/api/claims/{claimId}/reject</t>
        </is>
      </c>
      <c r="H18" s="23" t="inlineStr">
        <is>
          <t>CLAIMS-SERVICE</t>
        </is>
      </c>
      <c r="I18" s="23" t="inlineStr">
        <is>
          <t>ClaimHandler.rejectClaim</t>
        </is>
      </c>
      <c r="J18" s="23" t="inlineStr">
        <is>
          <t>ClaimService.rejectClaim()</t>
        </is>
      </c>
      <c r="K18" s="23" t="inlineStr">
        <is>
          <t>Only UNDER_REVIEW; reason required.</t>
        </is>
      </c>
      <c r="L18" s="23" t="inlineStr">
        <is>
          <t>-&gt; Notification-Svc POST /internal/notifications (CLAIM_REJECTED)</t>
        </is>
      </c>
      <c r="M18" s="23" t="inlineStr">
        <is>
          <t>claims, claim_timeline</t>
        </is>
      </c>
      <c r="N18" s="23" t="inlineStr">
        <is>
          <t>Claim: UNDER_REVIEW -&gt; REJECTED</t>
        </is>
      </c>
      <c r="O18" s="23" t="inlineStr">
        <is>
          <t>CLAIM_REJECTED</t>
        </is>
      </c>
      <c r="P18" s="23" t="inlineStr">
        <is>
          <t>-</t>
        </is>
      </c>
    </row>
    <row r="19" ht="37.5" customHeight="1" s="20">
      <c r="A19" s="23" t="inlineStr">
        <is>
          <t>7</t>
        </is>
      </c>
      <c r="B19" s="23" t="inlineStr">
        <is>
          <t>Claims Officer</t>
        </is>
      </c>
      <c r="C19" s="23" t="inlineStr">
        <is>
          <t>API (no dedicated button in SPA)</t>
        </is>
      </c>
      <c r="D19" s="23" t="inlineStr">
        <is>
          <t>Settles claim</t>
        </is>
      </c>
      <c r="E19" s="23" t="inlineStr">
        <is>
          <t>(API) ClaimService.settleClaim()</t>
        </is>
      </c>
      <c r="F19" s="14" t="inlineStr">
        <is>
          <t>PUT</t>
        </is>
      </c>
      <c r="G19" s="23" t="inlineStr">
        <is>
          <t>/api/claims/{claimId}/settle</t>
        </is>
      </c>
      <c r="H19" s="23" t="inlineStr">
        <is>
          <t>CLAIMS-SERVICE</t>
        </is>
      </c>
      <c r="I19" s="23" t="inlineStr">
        <is>
          <t>ClaimHandler.settleClaim</t>
        </is>
      </c>
      <c r="J19" s="23" t="inlineStr">
        <is>
          <t>ClaimService.settleClaim()</t>
        </is>
      </c>
      <c r="K19" s="23" t="inlineStr">
        <is>
          <t>Only APPROVED.</t>
        </is>
      </c>
      <c r="L19" s="23" t="inlineStr">
        <is>
          <t>-&gt; Notification-Svc POST /internal/notifications (CLAIM_SETTLED)</t>
        </is>
      </c>
      <c r="M19" s="23" t="inlineStr">
        <is>
          <t>claims, claim_timeline</t>
        </is>
      </c>
      <c r="N19" s="23" t="inlineStr">
        <is>
          <t>Claim: APPROVED -&gt; SETTLED</t>
        </is>
      </c>
      <c r="O19" s="23" t="inlineStr">
        <is>
          <t>CLAIM_SETTLED</t>
        </is>
      </c>
      <c r="P19" s="23" t="inlineStr">
        <is>
          <t>-</t>
        </is>
      </c>
    </row>
    <row r="20">
      <c r="A20" s="23" t="inlineStr">
        <is>
          <t>8</t>
        </is>
      </c>
      <c r="B20" s="23" t="inlineStr">
        <is>
          <t>Claims Officer</t>
        </is>
      </c>
      <c r="C20" s="23" t="inlineStr">
        <is>
          <t>/claims-officer/history</t>
        </is>
      </c>
      <c r="D20" s="23" t="inlineStr">
        <is>
          <t>Reviews own decisions</t>
        </is>
      </c>
      <c r="E20" s="23" t="inlineStr">
        <is>
          <t>ClaimService.getReviewHistory()</t>
        </is>
      </c>
      <c r="F20" s="14" t="inlineStr">
        <is>
          <t>GET</t>
        </is>
      </c>
      <c r="G20" s="23" t="inlineStr">
        <is>
          <t>/api/claims/review/history</t>
        </is>
      </c>
      <c r="H20" s="23" t="inlineStr">
        <is>
          <t>CLAIMS-SERVICE</t>
        </is>
      </c>
      <c r="I20" s="23" t="inlineStr">
        <is>
          <t>ClaimHandler.getReviewHistory</t>
        </is>
      </c>
      <c r="J20" s="23" t="inlineStr">
        <is>
          <t>ClaimService.getReviewHistory()</t>
        </is>
      </c>
      <c r="K20" s="23" t="inlineStr">
        <is>
          <t>Decisions by caller.</t>
        </is>
      </c>
      <c r="L20" s="23" t="inlineStr">
        <is>
          <t>-</t>
        </is>
      </c>
      <c r="M20" s="23" t="inlineStr">
        <is>
          <t>read</t>
        </is>
      </c>
      <c r="N20" s="23" t="inlineStr">
        <is>
          <t>-</t>
        </is>
      </c>
      <c r="O20" s="23" t="inlineStr">
        <is>
          <t>-</t>
        </is>
      </c>
      <c r="P20" s="23" t="inlineStr">
        <is>
          <t>History table</t>
        </is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2E75B6"/>
    <outlinePr summaryBelow="1" summaryRight="1"/>
    <pageSetUpPr/>
  </sheetPr>
  <dimension ref="A1:P19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UJ-15  Payout Disbursement &amp; Receipt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Admin, Customer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Payouts are paid automatically when a claim is approved; admins see the history and can retry an old failed payout.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Admin opens /admin/payouts.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Payout PENDING (created on claim approval or manually).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Payout SUCCESS; ledger entry; trigger event PROCESSED; customer receipt available.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Financial-Svc, Trigger-Svc, Product-Svc,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FINANCIAL-SERVICE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25" customHeight="1" s="20">
      <c r="A13" s="23" t="inlineStr">
        <is>
          <t>1</t>
        </is>
      </c>
      <c r="B13" s="23" t="inlineStr">
        <is>
          <t>Admin</t>
        </is>
      </c>
      <c r="C13" s="23" t="inlineStr">
        <is>
          <t>/admin/payouts (AdminPayoutsComponent)</t>
        </is>
      </c>
      <c r="D13" s="23" t="inlineStr">
        <is>
          <t>Lists payouts</t>
        </is>
      </c>
      <c r="E13" s="23" t="inlineStr">
        <is>
          <t>loadPayouts() -&gt; PayoutService.getAllPayouts()</t>
        </is>
      </c>
      <c r="F13" s="14" t="inlineStr">
        <is>
          <t>GET</t>
        </is>
      </c>
      <c r="G13" s="23" t="inlineStr">
        <is>
          <t>/api/financial/payouts/admin/all</t>
        </is>
      </c>
      <c r="H13" s="23" t="inlineStr">
        <is>
          <t>FINANCIAL-SERVICE</t>
        </is>
      </c>
      <c r="I13" s="23" t="inlineStr">
        <is>
          <t>PayoutHandler.findAll</t>
        </is>
      </c>
      <c r="J13" s="23" t="inlineStr">
        <is>
          <t>PayoutService.findAll()</t>
        </is>
      </c>
      <c r="K13" s="23" t="inlineStr">
        <is>
          <t>ADMIN.</t>
        </is>
      </c>
      <c r="L13" s="23" t="inlineStr">
        <is>
          <t>-</t>
        </is>
      </c>
      <c r="M13" s="23" t="inlineStr">
        <is>
          <t>read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Payout table</t>
        </is>
      </c>
    </row>
    <row r="14" ht="37.5" customHeight="1" s="20">
      <c r="A14" s="23" t="inlineStr">
        <is>
          <t>2</t>
        </is>
      </c>
      <c r="B14" s="23" t="inlineStr">
        <is>
          <t>Claims Officer / Admin (alt)</t>
        </is>
      </c>
      <c r="C14" s="23" t="inlineStr">
        <is>
          <t>API</t>
        </is>
      </c>
      <c r="D14" s="23" t="inlineStr">
        <is>
          <t>Manually creates payout for approved claim</t>
        </is>
      </c>
      <c r="E14" s="23" t="inlineStr">
        <is>
          <t>createPayout() -&gt; PayoutService.createPayout()</t>
        </is>
      </c>
      <c r="F14" s="14" t="inlineStr">
        <is>
          <t>POST</t>
        </is>
      </c>
      <c r="G14" s="23" t="inlineStr">
        <is>
          <t>/api/financial/payouts</t>
        </is>
      </c>
      <c r="H14" s="23" t="inlineStr">
        <is>
          <t>FINANCIAL-SERVICE</t>
        </is>
      </c>
      <c r="I14" s="23" t="inlineStr">
        <is>
          <t>PayoutHandler.create</t>
        </is>
      </c>
      <c r="J14" s="23" t="inlineStr">
        <is>
          <t>PayoutService.create()</t>
        </is>
      </c>
      <c r="K14" s="23" t="inlineStr">
        <is>
          <t>CLAIMS_OFFICER or ADMIN; claim APPROVED; no existing payout. Paid at once (mock bank transfer).</t>
        </is>
      </c>
      <c r="L14" s="23" t="inlineStr">
        <is>
          <t>Financial -&gt; Claims-Svc GET /internal/claims/{claimId}; -&gt; Notification-Svc POST /internal/notifications (PAYOUT_PENDING)</t>
        </is>
      </c>
      <c r="M14" s="23" t="inlineStr">
        <is>
          <t>payouts, financial_transactions</t>
        </is>
      </c>
      <c r="N14" s="23" t="inlineStr">
        <is>
          <t>Payout: -&gt; SUCCESS</t>
        </is>
      </c>
      <c r="O14" s="23" t="inlineStr">
        <is>
          <t>PAYOUT_PENDING</t>
        </is>
      </c>
      <c r="P14" s="23" t="inlineStr">
        <is>
          <t>-</t>
        </is>
      </c>
    </row>
    <row r="15" ht="25" customHeight="1" s="20">
      <c r="A15" s="23" t="inlineStr">
        <is>
          <t>3</t>
        </is>
      </c>
      <c r="B15" s="23" t="inlineStr">
        <is>
          <t>Admin</t>
        </is>
      </c>
      <c r="C15" s="23" t="inlineStr">
        <is>
          <t>/admin/payouts</t>
        </is>
      </c>
      <c r="D15" s="23" t="inlineStr">
        <is>
          <t>Retries an old failed payout</t>
        </is>
      </c>
      <c r="E15" s="23" t="inlineStr">
        <is>
          <t>PayoutService.retryPayout()</t>
        </is>
      </c>
      <c r="F15" s="14" t="inlineStr">
        <is>
          <t>PUT</t>
        </is>
      </c>
      <c r="G15" s="23" t="inlineStr">
        <is>
          <t>/api/financial/payouts/{payoutId}/retry</t>
        </is>
      </c>
      <c r="H15" s="23" t="inlineStr">
        <is>
          <t>FINANCIAL-SERVICE</t>
        </is>
      </c>
      <c r="I15" s="23" t="inlineStr">
        <is>
          <t>PayoutHandler.retry</t>
        </is>
      </c>
      <c r="J15" s="23" t="inlineStr">
        <is>
          <t>PayoutService.retry()</t>
        </is>
      </c>
      <c r="K15" s="23" t="inlineStr">
        <is>
          <t>Only FAILED; paid straight away.</t>
        </is>
      </c>
      <c r="L15" s="23" t="inlineStr">
        <is>
          <t>-&gt; Notification-Svc POST /internal/notifications (PAYOUT_PROCESSED); Financial -&gt; Trigger-Svc PUT /internal/triggers/events/{eventId}/processed</t>
        </is>
      </c>
      <c r="M15" s="23" t="inlineStr">
        <is>
          <t>payouts, financial_transactions</t>
        </is>
      </c>
      <c r="N15" s="23" t="inlineStr">
        <is>
          <t>Payout: FAILED -&gt; SUCCESS</t>
        </is>
      </c>
      <c r="O15" s="23" t="inlineStr">
        <is>
          <t>PAYOUT_PROCESSED</t>
        </is>
      </c>
      <c r="P15" s="23" t="inlineStr">
        <is>
          <t>Payout paid</t>
        </is>
      </c>
    </row>
    <row r="16" ht="62.5" customHeight="1" s="20">
      <c r="A16" s="23" t="inlineStr">
        <is>
          <t>4</t>
        </is>
      </c>
      <c r="B16" s="23" t="inlineStr">
        <is>
          <t>Customer</t>
        </is>
      </c>
      <c r="C16" s="23" t="inlineStr">
        <is>
          <t>/customer/payments?tab=payouts (CustomerPaymentsComponent)</t>
        </is>
      </c>
      <c r="D16" s="23" t="inlineStr">
        <is>
          <t>Downloads receipt</t>
        </is>
      </c>
      <c r="E16" s="23" t="inlineStr">
        <is>
          <t>PayoutService.downloadReceipt()</t>
        </is>
      </c>
      <c r="F16" s="14" t="inlineStr">
        <is>
          <t>GET</t>
        </is>
      </c>
      <c r="G16" s="23" t="inlineStr">
        <is>
          <t>/api/financial/payouts/{payoutId}/receipt</t>
        </is>
      </c>
      <c r="H16" s="23" t="inlineStr">
        <is>
          <t>FINANCIAL-SERVICE</t>
        </is>
      </c>
      <c r="I16" s="23" t="inlineStr">
        <is>
          <t>PayoutReceiptHandler.customerReceipt</t>
        </is>
      </c>
      <c r="J16" s="23" t="inlineStr">
        <is>
          <t>PayoutReceiptService.receiptForCustomer()</t>
        </is>
      </c>
      <c r="K16" s="23" t="inlineStr">
        <is>
          <t>Own payout.</t>
        </is>
      </c>
      <c r="L16" s="23" t="inlineStr">
        <is>
          <t>Financial -&gt; Product-Svc GET /internal/policies/{policyId}</t>
        </is>
      </c>
      <c r="M16" s="23" t="inlineStr">
        <is>
          <t>read</t>
        </is>
      </c>
      <c r="N16" s="23" t="inlineStr">
        <is>
          <t>-</t>
        </is>
      </c>
      <c r="O16" s="23" t="inlineStr">
        <is>
          <t>-</t>
        </is>
      </c>
      <c r="P16" s="23" t="inlineStr">
        <is>
          <t>PDF receipt</t>
        </is>
      </c>
    </row>
    <row r="17" ht="37.5" customHeight="1" s="20">
      <c r="A17" s="23" t="inlineStr">
        <is>
          <t>5</t>
        </is>
      </c>
      <c r="B17" s="23" t="inlineStr">
        <is>
          <t>Admin</t>
        </is>
      </c>
      <c r="C17" s="23" t="inlineStr">
        <is>
          <t>/admin/payouts</t>
        </is>
      </c>
      <c r="D17" s="23" t="inlineStr">
        <is>
          <t>Downloads receipt</t>
        </is>
      </c>
      <c r="E17" s="23" t="inlineStr">
        <is>
          <t>PayoutService.downloadAdminReceipt()</t>
        </is>
      </c>
      <c r="F17" s="14" t="inlineStr">
        <is>
          <t>GET</t>
        </is>
      </c>
      <c r="G17" s="23" t="inlineStr">
        <is>
          <t>/api/financial/payouts/admin/{payoutId}/receipt</t>
        </is>
      </c>
      <c r="H17" s="23" t="inlineStr">
        <is>
          <t>FINANCIAL-SERVICE</t>
        </is>
      </c>
      <c r="I17" s="23" t="inlineStr">
        <is>
          <t>PayoutReceiptHandler.adminReceipt</t>
        </is>
      </c>
      <c r="J17" s="23" t="inlineStr">
        <is>
          <t>PayoutReceiptService.receiptForAdmin()</t>
        </is>
      </c>
      <c r="K17" s="23" t="inlineStr">
        <is>
          <t>ADMIN.</t>
        </is>
      </c>
      <c r="L17" s="23" t="inlineStr">
        <is>
          <t>Financial -&gt; Product-Svc GET /internal/policies/{policyId}</t>
        </is>
      </c>
      <c r="M17" s="23" t="inlineStr">
        <is>
          <t>read</t>
        </is>
      </c>
      <c r="N17" s="23" t="inlineStr">
        <is>
          <t>-</t>
        </is>
      </c>
      <c r="O17" s="23" t="inlineStr">
        <is>
          <t>-</t>
        </is>
      </c>
      <c r="P17" s="23" t="inlineStr">
        <is>
          <t>PDF receipt</t>
        </is>
      </c>
    </row>
    <row r="18" ht="2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2E75B6"/>
    <outlinePr summaryBelow="1" summaryRight="1"/>
    <pageSetUpPr/>
  </sheetPr>
  <dimension ref="A1:P21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UJ-16  In-app Notifications &amp; Real-time Push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All roles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Receive and manage in-app notifications (no email or SMS).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Any signed-in user; layout header starts notification polling/stream.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Signed in.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Notifications read / deleted; pages showing the related item refresh live.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NOTIFICATION-SERVICE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26" customHeight="1" s="20">
      <c r="A13" s="23" t="inlineStr">
        <is>
          <t>1</t>
        </is>
      </c>
      <c r="B13" s="23" t="inlineStr">
        <is>
          <t>Any user</t>
        </is>
      </c>
      <c r="C13" s="23" t="inlineStr">
        <is>
          <t>Layout header (bell)</t>
        </is>
      </c>
      <c r="D13" s="23" t="inlineStr">
        <is>
          <t>App starts push</t>
        </is>
      </c>
      <c r="E13" s="23" t="inlineStr">
        <is>
          <t>startNotificationPolling() -&gt; NotificationPushService.connect() (EventSource)</t>
        </is>
      </c>
      <c r="F13" s="14" t="inlineStr">
        <is>
          <t>GET (SSE)</t>
        </is>
      </c>
      <c r="G13" s="23" t="inlineStr">
        <is>
          <t>/api/notifications/me/stream?access_token=&lt;jwt&gt;</t>
        </is>
      </c>
      <c r="H13" s="23" t="inlineStr">
        <is>
          <t>NOTIFICATION-SERVICE :8085</t>
        </is>
      </c>
      <c r="I13" s="23" t="inlineStr">
        <is>
          <t>NotificationHandler.stream</t>
        </is>
      </c>
      <c r="J13" s="23" t="inlineStr">
        <is>
          <t>NotificationService.stream() (NotificationStream Flux)</t>
        </is>
      </c>
      <c r="K13" s="23" t="inlineStr">
        <is>
          <t>Gateway accepts token from query for this path only.</t>
        </is>
      </c>
      <c r="L13" s="23" t="inlineStr">
        <is>
          <t>-</t>
        </is>
      </c>
      <c r="M13" s="23" t="inlineStr">
        <is>
          <t>-</t>
        </is>
      </c>
      <c r="N13" s="23" t="inlineStr">
        <is>
          <t>-</t>
        </is>
      </c>
      <c r="O13" s="23" t="inlineStr">
        <is>
          <t>Live notifications</t>
        </is>
      </c>
      <c r="P13" s="23" t="inlineStr">
        <is>
          <t>Toast + badge</t>
        </is>
      </c>
    </row>
    <row r="14" ht="25" customHeight="1" s="20">
      <c r="A14" s="23" t="inlineStr">
        <is>
          <t>2</t>
        </is>
      </c>
      <c r="B14" s="23" t="inlineStr">
        <is>
          <t>Any user</t>
        </is>
      </c>
      <c r="C14" s="23" t="inlineStr">
        <is>
          <t>Header / poll tick</t>
        </is>
      </c>
      <c r="D14" s="23" t="inlineStr">
        <is>
          <t>Unread badge</t>
        </is>
      </c>
      <c r="E14" s="23" t="inlineStr">
        <is>
          <t>loadUnreadCount() -&gt; NotificationService.getUnreadCount()</t>
        </is>
      </c>
      <c r="F14" s="14" t="inlineStr">
        <is>
          <t>GET</t>
        </is>
      </c>
      <c r="G14" s="23" t="inlineStr">
        <is>
          <t>/api/notifications/me/unread-count</t>
        </is>
      </c>
      <c r="H14" s="23" t="inlineStr">
        <is>
          <t>NOTIFICATION-SERVICE</t>
        </is>
      </c>
      <c r="I14" s="23" t="inlineStr">
        <is>
          <t>NotificationHandler.count</t>
        </is>
      </c>
      <c r="J14" s="23" t="inlineStr">
        <is>
          <t>NotificationService.unreadCount()</t>
        </is>
      </c>
      <c r="K14" s="23" t="inlineStr">
        <is>
          <t>Recipient = user id, customer id or role.</t>
        </is>
      </c>
      <c r="L14" s="23" t="inlineStr">
        <is>
          <t>-</t>
        </is>
      </c>
      <c r="M14" s="23" t="inlineStr">
        <is>
          <t>read</t>
        </is>
      </c>
      <c r="N14" s="23" t="inlineStr">
        <is>
          <t>-</t>
        </is>
      </c>
      <c r="O14" s="23" t="inlineStr">
        <is>
          <t>-</t>
        </is>
      </c>
      <c r="P14" s="23" t="inlineStr">
        <is>
          <t>Badge number</t>
        </is>
      </c>
    </row>
    <row r="15" ht="37.5" customHeight="1" s="20">
      <c r="A15" s="23" t="inlineStr">
        <is>
          <t>3</t>
        </is>
      </c>
      <c r="B15" s="23" t="inlineStr">
        <is>
          <t>Customer / Staff</t>
        </is>
      </c>
      <c r="C15" s="23" t="inlineStr">
        <is>
          <t>/customer/notifications, /underwriter|/claims-officer/notifications</t>
        </is>
      </c>
      <c r="D15" s="23" t="inlineStr">
        <is>
          <t>Views list</t>
        </is>
      </c>
      <c r="E15" s="23" t="inlineStr">
        <is>
          <t>loadNotifications() -&gt; NotificationService.getMyNotifications()</t>
        </is>
      </c>
      <c r="F15" s="14" t="inlineStr">
        <is>
          <t>GET</t>
        </is>
      </c>
      <c r="G15" s="23" t="inlineStr">
        <is>
          <t>/api/notifications/me</t>
        </is>
      </c>
      <c r="H15" s="23" t="inlineStr">
        <is>
          <t>NOTIFICATION-SERVICE</t>
        </is>
      </c>
      <c r="I15" s="23" t="inlineStr">
        <is>
          <t>NotificationHandler.mine</t>
        </is>
      </c>
      <c r="J15" s="23" t="inlineStr">
        <is>
          <t>NotificationService.mine()</t>
        </is>
      </c>
      <c r="K15" s="23" t="inlineStr">
        <is>
          <t>Own, customer-id and role-broadcast notifications, newest first.</t>
        </is>
      </c>
      <c r="L15" s="23" t="inlineStr">
        <is>
          <t>-</t>
        </is>
      </c>
      <c r="M15" s="23" t="inlineStr">
        <is>
          <t>read</t>
        </is>
      </c>
      <c r="N15" s="23" t="inlineStr">
        <is>
          <t>-</t>
        </is>
      </c>
      <c r="O15" s="23" t="inlineStr">
        <is>
          <t>-</t>
        </is>
      </c>
      <c r="P15" s="23" t="inlineStr">
        <is>
          <t>List</t>
        </is>
      </c>
    </row>
    <row r="16" ht="39" customHeight="1" s="20">
      <c r="A16" s="23" t="inlineStr">
        <is>
          <t>4</t>
        </is>
      </c>
      <c r="B16" s="23" t="inlineStr">
        <is>
          <t>Customer / Staff</t>
        </is>
      </c>
      <c r="C16" s="23" t="inlineStr">
        <is>
          <t>notifications page</t>
        </is>
      </c>
      <c r="D16" s="23" t="inlineStr">
        <is>
          <t>Marks read / all read / deletes</t>
        </is>
      </c>
      <c r="E16" s="23" t="inlineStr">
        <is>
          <t>markAsRead(), markAllAsRead(), deleteNotification()</t>
        </is>
      </c>
      <c r="F16" s="14" t="inlineStr">
        <is>
          <t>PUT / PUT / DELETE</t>
        </is>
      </c>
      <c r="G16" s="23" t="inlineStr">
        <is>
          <t>/api/notifications/{id}/read  |  /api/notifications/me/read-all  |  /api/notifications/{id}</t>
        </is>
      </c>
      <c r="H16" s="23" t="inlineStr">
        <is>
          <t>NOTIFICATION-SERVICE</t>
        </is>
      </c>
      <c r="I16" s="23" t="inlineStr">
        <is>
          <t>NotificationHandler.read / readAll / delete</t>
        </is>
      </c>
      <c r="J16" s="23" t="inlineStr">
        <is>
          <t>NotificationService.markRead() / markAllRead() / delete()</t>
        </is>
      </c>
      <c r="K16" s="23" t="inlineStr">
        <is>
          <t>Own notifications only.</t>
        </is>
      </c>
      <c r="L16" s="23" t="inlineStr">
        <is>
          <t>-</t>
        </is>
      </c>
      <c r="M16" s="23" t="inlineStr">
        <is>
          <t>notifications</t>
        </is>
      </c>
      <c r="N16" s="23" t="inlineStr">
        <is>
          <t>read = true</t>
        </is>
      </c>
      <c r="O16" s="23" t="inlineStr">
        <is>
          <t>-</t>
        </is>
      </c>
      <c r="P16" s="23" t="inlineStr">
        <is>
          <t>Badge updates</t>
        </is>
      </c>
    </row>
    <row r="17" ht="26" customHeight="1" s="20">
      <c r="A17" s="23" t="inlineStr">
        <is>
          <t>5</t>
        </is>
      </c>
      <c r="B17" s="23" t="inlineStr">
        <is>
          <t>Admin</t>
        </is>
      </c>
      <c r="C17" s="23" t="inlineStr">
        <is>
          <t>/admin/notifications (AdminNotificationsComponent)</t>
        </is>
      </c>
      <c r="D17" s="23" t="inlineStr">
        <is>
          <t>Manages all notifications</t>
        </is>
      </c>
      <c r="E17" s="23" t="inlineStr">
        <is>
          <t>loadAllNotifications(), adminMarkAsRead(), adminDelete()</t>
        </is>
      </c>
      <c r="F17" s="14" t="inlineStr">
        <is>
          <t>GET / PUT / DELETE</t>
        </is>
      </c>
      <c r="G17" s="23" t="inlineStr">
        <is>
          <t>/api/notifications/admin/all  |  /api/notifications/admin/{id}/read  |  /api/notifications/admin/{id}</t>
        </is>
      </c>
      <c r="H17" s="23" t="inlineStr">
        <is>
          <t>NOTIFICATION-SERVICE</t>
        </is>
      </c>
      <c r="I17" s="23" t="inlineStr">
        <is>
          <t>NotificationHandler.all / adminRead / adminDelete</t>
        </is>
      </c>
      <c r="J17" s="23" t="inlineStr">
        <is>
          <t>NotificationService.allPage() / adminMarkRead() / adminDelete()</t>
        </is>
      </c>
      <c r="K17" s="23" t="inlineStr">
        <is>
          <t>ADMIN.</t>
        </is>
      </c>
      <c r="L17" s="23" t="inlineStr">
        <is>
          <t>-</t>
        </is>
      </c>
      <c r="M17" s="23" t="inlineStr">
        <is>
          <t>notifications</t>
        </is>
      </c>
      <c r="N17" s="23" t="inlineStr">
        <is>
          <t>-</t>
        </is>
      </c>
      <c r="O17" s="23" t="inlineStr">
        <is>
          <t>-</t>
        </is>
      </c>
      <c r="P17" s="23" t="inlineStr">
        <is>
          <t>Admin table</t>
        </is>
      </c>
    </row>
    <row r="18" ht="39" customHeight="1" s="20">
      <c r="A18" s="23" t="inlineStr">
        <is>
          <t>6</t>
        </is>
      </c>
      <c r="B18" s="23" t="inlineStr">
        <is>
          <t>System</t>
        </is>
      </c>
      <c r="C18" s="23" t="inlineStr">
        <is>
          <t>NotificationScheduler</t>
        </is>
      </c>
      <c r="D18" s="23" t="inlineStr">
        <is>
          <t>Clean old read notifications (03:00)</t>
        </is>
      </c>
      <c r="E18" s="23" t="inlineStr">
        <is>
          <t>@Scheduled</t>
        </is>
      </c>
      <c r="F18" s="14" t="inlineStr">
        <is>
          <t>-</t>
        </is>
      </c>
      <c r="G18" s="23" t="inlineStr">
        <is>
          <t>(scheduled)</t>
        </is>
      </c>
      <c r="H18" s="23" t="inlineStr">
        <is>
          <t>NOTIFICATION-SERVICE</t>
        </is>
      </c>
      <c r="I18" s="23" t="inlineStr">
        <is>
          <t>-</t>
        </is>
      </c>
      <c r="J18" s="23" t="inlineStr">
        <is>
          <t>cleanupOldNotifications()</t>
        </is>
      </c>
      <c r="K18" s="23" t="inlineStr">
        <is>
          <t>Read notifications older than 90 days are removed.</t>
        </is>
      </c>
      <c r="L18" s="23" t="inlineStr">
        <is>
          <t>-</t>
        </is>
      </c>
      <c r="M18" s="23" t="inlineStr">
        <is>
          <t>notifications</t>
        </is>
      </c>
      <c r="N18" s="23" t="inlineStr">
        <is>
          <t>-</t>
        </is>
      </c>
      <c r="O18" s="23" t="inlineStr">
        <is>
          <t>-</t>
        </is>
      </c>
      <c r="P18" s="23" t="inlineStr">
        <is>
          <t>-</t>
        </is>
      </c>
    </row>
    <row r="19" ht="50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</row>
    <row r="20" ht="2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</row>
    <row r="21" ht="2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2E75B6"/>
    <outlinePr summaryBelow="1" summaryRight="1"/>
    <pageSetUpPr/>
  </sheetPr>
  <dimension ref="A1:P18"/>
  <sheetViews>
    <sheetView showGridLines="0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UJ-17  Admin User Management &amp; Dashboards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Admin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Oversee users and platform KPIs.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Admin opens /admin/dashboard or /admin/users.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Signed in as ADMIN.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User statuses managed; KPIs visible.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Angular SPA, Gateway, Auth-Svc, Product-Svc, Financial-Svc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SPA -&gt; Gateway -&gt; PRODUCT -&gt; AUTH-SERVICE -&gt; PRODUCT -&gt; TRIGGER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50" customHeight="1" s="20">
      <c r="A13" s="23" t="inlineStr">
        <is>
          <t>1</t>
        </is>
      </c>
      <c r="B13" s="23" t="inlineStr">
        <is>
          <t>Admin</t>
        </is>
      </c>
      <c r="C13" s="23" t="inlineStr">
        <is>
          <t>/admin/dashboard (AdminDashboardComponent)</t>
        </is>
      </c>
      <c r="D13" s="23" t="inlineStr">
        <is>
          <t>Opens dashboard</t>
        </is>
      </c>
      <c r="E13" s="23" t="inlineStr">
        <is>
          <t>loadAdminPolicies(), loadAdminProducts(), loadPayouts(), loadUsers()</t>
        </is>
      </c>
      <c r="F13" s="14" t="inlineStr">
        <is>
          <t>GET</t>
        </is>
      </c>
      <c r="G13" s="23" t="inlineStr">
        <is>
          <t>/api/policies/admin/all  |  /api/products/admin/all  |  /api/financial/payouts/admin/all  |  /api/users</t>
        </is>
      </c>
      <c r="H13" s="23" t="inlineStr">
        <is>
          <t>PRODUCT / FINANCIAL / AUTH</t>
        </is>
      </c>
      <c r="I13" s="23" t="inlineStr">
        <is>
          <t>PolicyHandler.getAllPolicies / ProductHandler.getAllProducts / PayoutHandler.findAll / UserHandler.getAllUsers</t>
        </is>
      </c>
      <c r="J13" s="23" t="inlineStr">
        <is>
          <t>-</t>
        </is>
      </c>
      <c r="K13" s="23" t="inlineStr">
        <is>
          <t>ADMIN.</t>
        </is>
      </c>
      <c r="L13" s="23" t="inlineStr">
        <is>
          <t>-</t>
        </is>
      </c>
      <c r="M13" s="23" t="inlineStr">
        <is>
          <t>read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KPI stat cards</t>
        </is>
      </c>
    </row>
    <row r="14">
      <c r="A14" s="23" t="inlineStr">
        <is>
          <t>2</t>
        </is>
      </c>
      <c r="B14" s="23" t="inlineStr">
        <is>
          <t>Admin</t>
        </is>
      </c>
      <c r="C14" s="23" t="inlineStr">
        <is>
          <t>/admin/users (AdminUsersComponent)</t>
        </is>
      </c>
      <c r="D14" s="23" t="inlineStr">
        <is>
          <t>Searches users</t>
        </is>
      </c>
      <c r="E14" s="23" t="inlineStr">
        <is>
          <t>loadUsers() -&gt; UserService.getAllUsers()</t>
        </is>
      </c>
      <c r="F14" s="14" t="inlineStr">
        <is>
          <t>GET</t>
        </is>
      </c>
      <c r="G14" s="23" t="inlineStr">
        <is>
          <t>/api/users?status&amp;segment</t>
        </is>
      </c>
      <c r="H14" s="23" t="inlineStr">
        <is>
          <t>AUTH-SERVICE</t>
        </is>
      </c>
      <c r="I14" s="23" t="inlineStr">
        <is>
          <t>UserHandler.getAllUsers</t>
        </is>
      </c>
      <c r="J14" s="23" t="inlineStr">
        <is>
          <t>UserProfileService.getAllUsers()</t>
        </is>
      </c>
      <c r="K14" s="23" t="inlineStr">
        <is>
          <t>ADMIN.</t>
        </is>
      </c>
      <c r="L14" s="23" t="inlineStr">
        <is>
          <t>-</t>
        </is>
      </c>
      <c r="M14" s="23" t="inlineStr">
        <is>
          <t>read</t>
        </is>
      </c>
      <c r="N14" s="23" t="inlineStr">
        <is>
          <t>-</t>
        </is>
      </c>
      <c r="O14" s="23" t="inlineStr">
        <is>
          <t>-</t>
        </is>
      </c>
      <c r="P14" s="23" t="inlineStr">
        <is>
          <t>User table</t>
        </is>
      </c>
    </row>
    <row r="15" ht="25" customHeight="1" s="20">
      <c r="A15" s="23" t="inlineStr">
        <is>
          <t>3</t>
        </is>
      </c>
      <c r="B15" s="23" t="inlineStr">
        <is>
          <t>Admin</t>
        </is>
      </c>
      <c r="C15" s="23" t="inlineStr">
        <is>
          <t>/admin/users/:userId (AdminUserDetailComponent)</t>
        </is>
      </c>
      <c r="D15" s="23" t="inlineStr">
        <is>
          <t>Views user</t>
        </is>
      </c>
      <c r="E15" s="23" t="inlineStr">
        <is>
          <t>loadUser() -&gt; UserService.getUser()</t>
        </is>
      </c>
      <c r="F15" s="14" t="inlineStr">
        <is>
          <t>GET</t>
        </is>
      </c>
      <c r="G15" s="23" t="inlineStr">
        <is>
          <t>/api/users/{userId}</t>
        </is>
      </c>
      <c r="H15" s="23" t="inlineStr">
        <is>
          <t>AUTH-SERVICE</t>
        </is>
      </c>
      <c r="I15" s="23" t="inlineStr">
        <is>
          <t>UserHandler.getUser</t>
        </is>
      </c>
      <c r="J15" s="23" t="inlineStr">
        <is>
          <t>UserProfileService.getUser()</t>
        </is>
      </c>
      <c r="K15" s="23" t="inlineStr">
        <is>
          <t>ADMIN / UNDERWRITER / CLAIMS_OFFICER.</t>
        </is>
      </c>
      <c r="L15" s="23" t="inlineStr">
        <is>
          <t>-</t>
        </is>
      </c>
      <c r="M15" s="23" t="inlineStr">
        <is>
          <t>read</t>
        </is>
      </c>
      <c r="N15" s="23" t="inlineStr">
        <is>
          <t>-</t>
        </is>
      </c>
      <c r="O15" s="23" t="inlineStr">
        <is>
          <t>-</t>
        </is>
      </c>
      <c r="P15" s="23" t="inlineStr">
        <is>
          <t>Profile</t>
        </is>
      </c>
    </row>
    <row r="16" ht="25" customHeight="1" s="20">
      <c r="A16" s="23" t="inlineStr">
        <is>
          <t>4</t>
        </is>
      </c>
      <c r="B16" s="23" t="inlineStr">
        <is>
          <t>Admin</t>
        </is>
      </c>
      <c r="C16" s="23" t="inlineStr">
        <is>
          <t>/admin/users</t>
        </is>
      </c>
      <c r="D16" s="23" t="inlineStr">
        <is>
          <t>Suspends / reactivates</t>
        </is>
      </c>
      <c r="E16" s="23" t="inlineStr">
        <is>
          <t>updateUserStatus() -&gt; UserService.updateUserStatus()</t>
        </is>
      </c>
      <c r="F16" s="14" t="inlineStr">
        <is>
          <t>PUT</t>
        </is>
      </c>
      <c r="G16" s="23" t="inlineStr">
        <is>
          <t>/api/users/{userId}/status</t>
        </is>
      </c>
      <c r="H16" s="23" t="inlineStr">
        <is>
          <t>AUTH-SERVICE</t>
        </is>
      </c>
      <c r="I16" s="23" t="inlineStr">
        <is>
          <t>UserHandler.updateStatus</t>
        </is>
      </c>
      <c r="J16" s="23" t="inlineStr">
        <is>
          <t>UserProfileService.updateStatus()</t>
        </is>
      </c>
      <c r="K16" s="23" t="inlineStr">
        <is>
          <t>ADMIN; ACTIVE/SUSPENDED/INACTIVE.</t>
        </is>
      </c>
      <c r="L16" s="23" t="inlineStr">
        <is>
          <t>-</t>
        </is>
      </c>
      <c r="M16" s="23" t="inlineStr">
        <is>
          <t>users_credentials</t>
        </is>
      </c>
      <c r="N16" s="23" t="inlineStr">
        <is>
          <t>User: ACTIVE &lt;-&gt; SUSPENDED / INACTIVE</t>
        </is>
      </c>
      <c r="O16" s="23" t="inlineStr">
        <is>
          <t>-</t>
        </is>
      </c>
      <c r="P16" s="23" t="inlineStr">
        <is>
          <t>Status badge updates</t>
        </is>
      </c>
    </row>
    <row r="17" ht="50" customHeight="1" s="20">
      <c r="A17" s="23" t="inlineStr">
        <is>
          <t>5</t>
        </is>
      </c>
      <c r="B17" s="23" t="inlineStr">
        <is>
          <t>Admin</t>
        </is>
      </c>
      <c r="C17" s="23" t="inlineStr">
        <is>
          <t>/admin/policies, /admin/claims (+ detail pages)</t>
        </is>
      </c>
      <c r="D17" s="23" t="inlineStr">
        <is>
          <t>Oversees policies &amp; claims</t>
        </is>
      </c>
      <c r="E17" s="23" t="inlineStr">
        <is>
          <t>loadAdminPolicies(), loadAdminClaims(), loadAdminClaim(), getAdminClaimTimeline(), downloadAdminCertificate()</t>
        </is>
      </c>
      <c r="F17" s="14" t="inlineStr">
        <is>
          <t>GET</t>
        </is>
      </c>
      <c r="G17" s="23" t="inlineStr">
        <is>
          <t>/api/policies/admin/all  |  /api/claims/admin/all  |  /api/claims/admin/{claimId}  |  /api/claims/admin/{claimId}/timeline  |  /api/policies/admin/{policyId}/certificate</t>
        </is>
      </c>
      <c r="H17" s="23" t="inlineStr">
        <is>
          <t>PRODUCT / CLAIMS</t>
        </is>
      </c>
      <c r="I17" s="23" t="inlineStr">
        <is>
          <t>PolicyHandler.* / ClaimHandler.getAllClaims / getClaim / getClaimTimeline</t>
        </is>
      </c>
      <c r="J17" s="23" t="inlineStr">
        <is>
          <t>-</t>
        </is>
      </c>
      <c r="K17" s="23" t="inlineStr">
        <is>
          <t>ADMIN.</t>
        </is>
      </c>
      <c r="L17" s="23" t="inlineStr">
        <is>
          <t>-</t>
        </is>
      </c>
      <c r="M17" s="23" t="inlineStr">
        <is>
          <t>read</t>
        </is>
      </c>
      <c r="N17" s="23" t="inlineStr">
        <is>
          <t>-</t>
        </is>
      </c>
      <c r="O17" s="23" t="inlineStr">
        <is>
          <t>-</t>
        </is>
      </c>
      <c r="P17" s="23" t="inlineStr">
        <is>
          <t>Read-only oversight views</t>
        </is>
      </c>
    </row>
    <row r="18" ht="37.5" customHeight="1" s="20">
      <c r="A18" s="23" t="inlineStr">
        <is>
          <t>6</t>
        </is>
      </c>
      <c r="B18" s="23" t="inlineStr">
        <is>
          <t>Any role</t>
        </is>
      </c>
      <c r="C18" s="23" t="inlineStr">
        <is>
          <t>/customer|/admin/zone-map (ZoneMapPageComponent)</t>
        </is>
      </c>
      <c r="D18" s="23" t="inlineStr">
        <is>
          <t>Views zone risk map</t>
        </is>
      </c>
      <c r="E18" s="23" t="inlineStr">
        <is>
          <t>measurementService.getZoneMeasurements(); zoneService.getActiveZones(); policyService.getMyPolicies()/getAllPolicies()</t>
        </is>
      </c>
      <c r="F18" s="14" t="inlineStr">
        <is>
          <t>GET</t>
        </is>
      </c>
      <c r="G18" s="23" t="inlineStr">
        <is>
          <t>/api/triggers/measurements/zones  |  /api/triggers/zones/active  |  /api/policies/me or /api/policies/admin/all</t>
        </is>
      </c>
      <c r="H18" s="23" t="inlineStr">
        <is>
          <t>TRIGGER / PRODUCT</t>
        </is>
      </c>
      <c r="I18" s="23" t="inlineStr">
        <is>
          <t>ZoneMeasurementRouter lambda / LocationZoneHandler.getActive / PolicyHandler.*</t>
        </is>
      </c>
      <c r="J18" s="23" t="inlineStr">
        <is>
          <t>ZoneMeasurementService.latestPerZone()</t>
        </is>
      </c>
      <c r="K18" s="23" t="inlineStr">
        <is>
          <t>Customers see own policies; admin sees all.</t>
        </is>
      </c>
      <c r="L18" s="23" t="inlineStr">
        <is>
          <t>-</t>
        </is>
      </c>
      <c r="M18" s="23" t="inlineStr">
        <is>
          <t>read</t>
        </is>
      </c>
      <c r="N18" s="23" t="inlineStr">
        <is>
          <t>-</t>
        </is>
      </c>
      <c r="O18" s="23" t="inlineStr">
        <is>
          <t>-</t>
        </is>
      </c>
      <c r="P18" s="23" t="inlineStr">
        <is>
          <t>Map with latest weather per zone</t>
        </is>
      </c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2E75B6"/>
    <outlinePr summaryBelow="1" summaryRight="1"/>
    <pageSetUpPr/>
  </sheetPr>
  <dimension ref="A1:P22"/>
  <sheetViews>
    <sheetView showGridLines="0" tabSelected="1" workbookViewId="0">
      <pane xSplit="3" ySplit="12" topLeftCell="D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6" customWidth="1" style="20" min="1" max="1"/>
    <col width="18" customWidth="1" style="20" min="2" max="2"/>
    <col width="32" customWidth="1" style="20" min="3" max="4"/>
    <col width="40" customWidth="1" style="20" min="5" max="5"/>
    <col width="9" customWidth="1" style="20" min="6" max="6"/>
    <col width="44" customWidth="1" style="20" min="7" max="7"/>
    <col width="20" customWidth="1" style="20" min="8" max="8"/>
    <col width="34" customWidth="1" style="20" min="9" max="9"/>
    <col width="38" customWidth="1" style="20" min="10" max="10"/>
    <col width="55" customWidth="1" style="20" min="11" max="12"/>
    <col width="34" customWidth="1" style="20" min="13" max="13"/>
    <col width="30" customWidth="1" style="20" min="14" max="14"/>
    <col width="34" customWidth="1" style="20" min="15" max="15"/>
    <col width="36" customWidth="1" style="20" min="16" max="16"/>
  </cols>
  <sheetData>
    <row r="1" ht="20" customHeight="1" s="20">
      <c r="A1" s="1" t="inlineStr">
        <is>
          <t>UJ-18  Background System Jobs (no user)</t>
        </is>
      </c>
    </row>
    <row r="2">
      <c r="A2" s="11" t="inlineStr">
        <is>
          <t>&lt;- Back to Overview</t>
        </is>
      </c>
    </row>
    <row r="4" ht="30" customHeight="1" s="20">
      <c r="A4" s="21" t="inlineStr">
        <is>
          <t>Actor(s)</t>
        </is>
      </c>
      <c r="B4" s="22" t="n"/>
      <c r="C4" s="23" t="inlineStr">
        <is>
          <t>System schedulers</t>
        </is>
      </c>
      <c r="D4" s="24" t="n"/>
      <c r="E4" s="24" t="n"/>
      <c r="F4" s="24" t="n"/>
      <c r="G4" s="24" t="n"/>
      <c r="H4" s="24" t="n"/>
      <c r="I4" s="24" t="n"/>
      <c r="J4" s="22" t="n"/>
    </row>
    <row r="5" ht="30" customHeight="1" s="20">
      <c r="A5" s="21" t="inlineStr">
        <is>
          <t>Goal</t>
        </is>
      </c>
      <c r="B5" s="22" t="n"/>
      <c r="C5" s="23" t="inlineStr">
        <is>
          <t>Keep policies, payments, payouts, pricing and triggers consistent without manual action.</t>
        </is>
      </c>
      <c r="D5" s="24" t="n"/>
      <c r="E5" s="24" t="n"/>
      <c r="F5" s="24" t="n"/>
      <c r="G5" s="24" t="n"/>
      <c r="H5" s="24" t="n"/>
      <c r="I5" s="24" t="n"/>
      <c r="J5" s="22" t="n"/>
    </row>
    <row r="6" ht="30" customHeight="1" s="20">
      <c r="A6" s="21" t="inlineStr">
        <is>
          <t>Trigger / entry</t>
        </is>
      </c>
      <c r="B6" s="22" t="n"/>
      <c r="C6" s="23" t="inlineStr">
        <is>
          <t>Spring @Scheduled timers.</t>
        </is>
      </c>
      <c r="D6" s="24" t="n"/>
      <c r="E6" s="24" t="n"/>
      <c r="F6" s="24" t="n"/>
      <c r="G6" s="24" t="n"/>
      <c r="H6" s="24" t="n"/>
      <c r="I6" s="24" t="n"/>
      <c r="J6" s="22" t="n"/>
    </row>
    <row r="7" ht="30" customHeight="1" s="20">
      <c r="A7" s="21" t="inlineStr">
        <is>
          <t>Pre-conditions</t>
        </is>
      </c>
      <c r="B7" s="22" t="n"/>
      <c r="C7" s="23" t="inlineStr">
        <is>
          <t>Services running.</t>
        </is>
      </c>
      <c r="D7" s="24" t="n"/>
      <c r="E7" s="24" t="n"/>
      <c r="F7" s="24" t="n"/>
      <c r="G7" s="24" t="n"/>
      <c r="H7" s="24" t="n"/>
      <c r="I7" s="24" t="n"/>
      <c r="J7" s="22" t="n"/>
    </row>
    <row r="8" ht="30" customHeight="1" s="20">
      <c r="A8" s="21" t="inlineStr">
        <is>
          <t>Post-conditions</t>
        </is>
      </c>
      <c r="B8" s="22" t="n"/>
      <c r="C8" s="23" t="inlineStr">
        <is>
          <t>Expired policies, renewals, payout sweep, reminders, reconciliation, demo readings and notification cleanup executed.</t>
        </is>
      </c>
      <c r="D8" s="24" t="n"/>
      <c r="E8" s="24" t="n"/>
      <c r="F8" s="24" t="n"/>
      <c r="G8" s="24" t="n"/>
      <c r="H8" s="24" t="n"/>
      <c r="I8" s="24" t="n"/>
      <c r="J8" s="22" t="n"/>
    </row>
    <row r="9" ht="30" customHeight="1" s="20">
      <c r="A9" s="21" t="inlineStr">
        <is>
          <t>Services involved</t>
        </is>
      </c>
      <c r="B9" s="22" t="n"/>
      <c r="C9" s="23" t="inlineStr">
        <is>
          <t>Product-Svc, Financial-Svc, Trigger-Svc, Notification-Svc</t>
        </is>
      </c>
      <c r="D9" s="24" t="n"/>
      <c r="E9" s="24" t="n"/>
      <c r="F9" s="24" t="n"/>
      <c r="G9" s="24" t="n"/>
      <c r="H9" s="24" t="n"/>
      <c r="I9" s="24" t="n"/>
      <c r="J9" s="22" t="n"/>
    </row>
    <row r="10">
      <c r="A10" s="21" t="inlineStr">
        <is>
          <t>Service hop chain</t>
        </is>
      </c>
      <c r="B10" s="22" t="n"/>
      <c r="C10" s="23" t="inlineStr">
        <is>
          <t>Schedulers inside PRODUCT-SERVICE, FINANCIAL-SERVICE, TRIGGER-SERVICE and NOTIFICATION-SERVICE</t>
        </is>
      </c>
      <c r="D10" s="24" t="n"/>
      <c r="E10" s="24" t="n"/>
      <c r="F10" s="24" t="n"/>
      <c r="G10" s="24" t="n"/>
      <c r="H10" s="24" t="n"/>
      <c r="I10" s="24" t="n"/>
      <c r="J10" s="22" t="n"/>
    </row>
    <row r="12" ht="26" customHeight="1" s="20">
      <c r="A12" s="8" t="inlineStr">
        <is>
          <t>Step</t>
        </is>
      </c>
      <c r="B12" s="8" t="inlineStr">
        <is>
          <t>Actor</t>
        </is>
      </c>
      <c r="C12" s="8" t="inlineStr">
        <is>
          <t>UI screen / route (component)</t>
        </is>
      </c>
      <c r="D12" s="8" t="inlineStr">
        <is>
          <t>User / system action</t>
        </is>
      </c>
      <c r="E12" s="8" t="inlineStr">
        <is>
          <t>Frontend call (NgRx action -&gt; Angular service)</t>
        </is>
      </c>
      <c r="F12" s="8" t="inlineStr">
        <is>
          <t>HTTP</t>
        </is>
      </c>
      <c r="G12" s="8" t="inlineStr">
        <is>
          <t>Endpoint (via Gateway :8080 unless internal)</t>
        </is>
      </c>
      <c r="H12" s="8" t="inlineStr">
        <is>
          <t>Target service</t>
        </is>
      </c>
      <c r="I12" s="8" t="inlineStr">
        <is>
          <t>Handler method</t>
        </is>
      </c>
      <c r="J12" s="8" t="inlineStr">
        <is>
          <t>Service method(s)</t>
        </is>
      </c>
      <c r="K12" s="8" t="inlineStr">
        <is>
          <t>Business rules &amp; validations</t>
        </is>
      </c>
      <c r="L12" s="8" t="inlineStr">
        <is>
          <t>Inter-service calls (sync REST)</t>
        </is>
      </c>
      <c r="M12" s="8" t="inlineStr">
        <is>
          <t>DB tables touched</t>
        </is>
      </c>
      <c r="N12" s="8" t="inlineStr">
        <is>
          <t>Status transition</t>
        </is>
      </c>
      <c r="O12" s="8" t="inlineStr">
        <is>
          <t>Notifications</t>
        </is>
      </c>
      <c r="P12" s="8" t="inlineStr">
        <is>
          <t>Result / UI outcome</t>
        </is>
      </c>
    </row>
    <row r="13" ht="25" customHeight="1" s="20">
      <c r="A13" s="23" t="inlineStr">
        <is>
          <t>1</t>
        </is>
      </c>
      <c r="B13" s="23" t="inlineStr">
        <is>
          <t>System</t>
        </is>
      </c>
      <c r="C13" s="23" t="inlineStr">
        <is>
          <t>PolicyExpiryScheduler - cron 0 0 1 * * ?</t>
        </is>
      </c>
      <c r="D13" s="23" t="inlineStr">
        <is>
          <t>Expire policies</t>
        </is>
      </c>
      <c r="E13" s="23" t="inlineStr">
        <is>
          <t>@Scheduled expirePolicies()</t>
        </is>
      </c>
      <c r="F13" s="23" t="inlineStr">
        <is>
          <t>-</t>
        </is>
      </c>
      <c r="G13" s="23" t="inlineStr">
        <is>
          <t>-</t>
        </is>
      </c>
      <c r="H13" s="23" t="inlineStr">
        <is>
          <t>PRODUCT-SERVICE</t>
        </is>
      </c>
      <c r="I13" s="23" t="inlineStr">
        <is>
          <t>-</t>
        </is>
      </c>
      <c r="J13" s="23" t="inlineStr">
        <is>
          <t>expirePolicy()</t>
        </is>
      </c>
      <c r="K13" s="23" t="inlineStr">
        <is>
          <t>ACTIVE and endDate &lt;= today.</t>
        </is>
      </c>
      <c r="L13" s="23" t="inlineStr">
        <is>
          <t>-&gt; Notification-Svc POST /internal/notifications (POLICY_EXPIRED)</t>
        </is>
      </c>
      <c r="M13" s="23" t="inlineStr">
        <is>
          <t>policies, policy_status_history</t>
        </is>
      </c>
      <c r="N13" s="23" t="inlineStr">
        <is>
          <t>ACTIVE -&gt; EXPIRED</t>
        </is>
      </c>
      <c r="O13" s="23" t="inlineStr">
        <is>
          <t>POLICY_EXPIRED</t>
        </is>
      </c>
      <c r="P13" s="23" t="inlineStr">
        <is>
          <t>-</t>
        </is>
      </c>
    </row>
    <row r="14" ht="25" customHeight="1" s="20">
      <c r="A14" s="23" t="inlineStr">
        <is>
          <t>2</t>
        </is>
      </c>
      <c r="B14" s="23" t="inlineStr">
        <is>
          <t>System</t>
        </is>
      </c>
      <c r="C14" s="23" t="inlineStr">
        <is>
          <t>PolicyRenewalScheduler - cron 0 30 1 * * ?</t>
        </is>
      </c>
      <c r="D14" s="23" t="inlineStr">
        <is>
          <t>Renewal sweep</t>
        </is>
      </c>
      <c r="E14" s="23" t="inlineStr">
        <is>
          <t>@Scheduled runRenewalSweep()</t>
        </is>
      </c>
      <c r="F14" s="23" t="inlineStr">
        <is>
          <t>-</t>
        </is>
      </c>
      <c r="G14" s="23" t="inlineStr">
        <is>
          <t>-</t>
        </is>
      </c>
      <c r="H14" s="23" t="inlineStr">
        <is>
          <t>PRODUCT-SERVICE</t>
        </is>
      </c>
      <c r="I14" s="23" t="inlineStr">
        <is>
          <t>-</t>
        </is>
      </c>
      <c r="J14" s="23" t="inlineStr">
        <is>
          <t>PolicyService.createAutomaticRenewal()</t>
        </is>
      </c>
      <c r="K14" s="23" t="inlineStr">
        <is>
          <t>autoRenew &amp; &lt;= 14 days left -&gt; renewal application; else reminders at 14 and 3 days.</t>
        </is>
      </c>
      <c r="L14" s="23" t="inlineStr">
        <is>
          <t>Product -&gt; Financial pricing; -&gt; Notification-Svc POST /internal/notifications (POLICY_RENEWAL_DUE)</t>
        </is>
      </c>
      <c r="M14" s="23" t="inlineStr">
        <is>
          <t>policies</t>
        </is>
      </c>
      <c r="N14" s="23" t="inlineStr">
        <is>
          <t>new PENDING renewal</t>
        </is>
      </c>
      <c r="O14" s="23" t="inlineStr">
        <is>
          <t>POLICY_RENEWAL_DUE</t>
        </is>
      </c>
      <c r="P14" s="23" t="inlineStr">
        <is>
          <t>-</t>
        </is>
      </c>
    </row>
    <row r="15" ht="25" customHeight="1" s="20">
      <c r="A15" s="23" t="inlineStr">
        <is>
          <t>3</t>
        </is>
      </c>
      <c r="B15" s="23" t="inlineStr">
        <is>
          <t>System</t>
        </is>
      </c>
      <c r="C15" s="23" t="inlineStr">
        <is>
          <t>DefaultPricingRuleScheduler - initial 20 s, fixedDelay 60 s</t>
        </is>
      </c>
      <c r="D15" s="23" t="inlineStr">
        <is>
          <t>Provision default pricing rules</t>
        </is>
      </c>
      <c r="E15" s="23" t="inlineStr">
        <is>
          <t>@Scheduled syncDefaultRules()</t>
        </is>
      </c>
      <c r="F15" s="23" t="inlineStr">
        <is>
          <t>GET</t>
        </is>
      </c>
      <c r="G15" s="23" t="inlineStr">
        <is>
          <t>/internal/products</t>
        </is>
      </c>
      <c r="H15" s="23" t="inlineStr">
        <is>
          <t>FINANCIAL-SERVICE</t>
        </is>
      </c>
      <c r="I15" s="23" t="inlineStr">
        <is>
          <t>-</t>
        </is>
      </c>
      <c r="J15" s="23" t="inlineStr">
        <is>
          <t>DefaultPricingRuleProvisioner.provisionMissingRules()</t>
        </is>
      </c>
      <c r="K15" s="23" t="inlineStr">
        <is>
          <t>One default rule per product without a rule.</t>
        </is>
      </c>
      <c r="L15" s="23" t="inlineStr">
        <is>
          <t>Financial -&gt; Product</t>
        </is>
      </c>
      <c r="M15" s="23" t="inlineStr">
        <is>
          <t>pricing_rules</t>
        </is>
      </c>
      <c r="N15" s="23" t="inlineStr">
        <is>
          <t>-</t>
        </is>
      </c>
      <c r="O15" s="23" t="inlineStr">
        <is>
          <t>-</t>
        </is>
      </c>
      <c r="P15" s="23" t="inlineStr">
        <is>
          <t>-</t>
        </is>
      </c>
    </row>
    <row r="16" ht="37.5" customHeight="1" s="20">
      <c r="A16" s="23" t="inlineStr">
        <is>
          <t>4</t>
        </is>
      </c>
      <c r="B16" s="23" t="inlineStr">
        <is>
          <t>System</t>
        </is>
      </c>
      <c r="C16" s="23" t="inlineStr">
        <is>
          <t>PayoutRetryScheduler - 30 s after start, then every 5 min</t>
        </is>
      </c>
      <c r="D16" s="23" t="inlineStr">
        <is>
          <t>Payout sweep</t>
        </is>
      </c>
      <c r="E16" s="23" t="inlineStr">
        <is>
          <t>@Scheduled retryFailedPayouts()</t>
        </is>
      </c>
      <c r="F16" s="23" t="inlineStr">
        <is>
          <t>-</t>
        </is>
      </c>
      <c r="G16" s="23" t="inlineStr">
        <is>
          <t>-</t>
        </is>
      </c>
      <c r="H16" s="23" t="inlineStr">
        <is>
          <t>FINANCIAL-SERVICE</t>
        </is>
      </c>
      <c r="I16" s="23" t="inlineStr">
        <is>
          <t>-</t>
        </is>
      </c>
      <c r="J16" s="23" t="inlineStr">
        <is>
          <t>-</t>
        </is>
      </c>
      <c r="K16" s="23" t="inlineStr">
        <is>
          <t>Pays PENDING / PROCESSING payouts and retries FAILED ones (retryCount &lt; 3).</t>
        </is>
      </c>
      <c r="L16" s="23" t="inlineStr">
        <is>
          <t>-&gt; Notification-Svc POST /internal/notifications (PAYOUT_PROCESSED)</t>
        </is>
      </c>
      <c r="M16" s="23" t="inlineStr">
        <is>
          <t>payouts</t>
        </is>
      </c>
      <c r="N16" s="23" t="inlineStr">
        <is>
          <t>PENDING / FAILED -&gt; SUCCESS</t>
        </is>
      </c>
      <c r="O16" s="23" t="inlineStr">
        <is>
          <t>-</t>
        </is>
      </c>
      <c r="P16" s="23" t="inlineStr">
        <is>
          <t>-</t>
        </is>
      </c>
    </row>
    <row r="17" ht="37.5" customHeight="1" s="20">
      <c r="A17" s="23" t="inlineStr">
        <is>
          <t>5</t>
        </is>
      </c>
      <c r="B17" s="23" t="inlineStr">
        <is>
          <t>System</t>
        </is>
      </c>
      <c r="C17" s="23" t="inlineStr">
        <is>
          <t>PremiumReminderScheduler - cron 0 0 9 * * *</t>
        </is>
      </c>
      <c r="D17" s="23" t="inlineStr">
        <is>
          <t>Premium due / overdue reminders</t>
        </is>
      </c>
      <c r="E17" s="23" t="inlineStr">
        <is>
          <t>@Scheduled sendPremiumReminders()</t>
        </is>
      </c>
      <c r="F17" s="23" t="inlineStr">
        <is>
          <t>-</t>
        </is>
      </c>
      <c r="G17" s="23" t="inlineStr">
        <is>
          <t>-</t>
        </is>
      </c>
      <c r="H17" s="23" t="inlineStr">
        <is>
          <t>FINANCIAL-SERVICE</t>
        </is>
      </c>
      <c r="I17" s="23" t="inlineStr">
        <is>
          <t>-</t>
        </is>
      </c>
      <c r="J17" s="23" t="inlineStr">
        <is>
          <t>sendReminder()</t>
        </is>
      </c>
      <c r="K17" s="23" t="inlineStr">
        <is>
          <t>Latest SUCCESS payment per policy -&gt; next due date.</t>
        </is>
      </c>
      <c r="L17" s="23" t="inlineStr">
        <is>
          <t>-&gt; Notification-Svc POST /internal/notifications (PREMIUM_DUE / PREMIUM_OVERDUE)</t>
        </is>
      </c>
      <c r="M17" s="23" t="inlineStr">
        <is>
          <t>-</t>
        </is>
      </c>
      <c r="N17" s="23" t="inlineStr">
        <is>
          <t>-</t>
        </is>
      </c>
      <c r="O17" s="23" t="inlineStr">
        <is>
          <t>Reminder</t>
        </is>
      </c>
      <c r="P17" s="23" t="inlineStr">
        <is>
          <t>-</t>
        </is>
      </c>
    </row>
    <row r="18" ht="25" customHeight="1" s="20">
      <c r="A18" s="23" t="inlineStr">
        <is>
          <t>6</t>
        </is>
      </c>
      <c r="B18" s="23" t="inlineStr">
        <is>
          <t>System</t>
        </is>
      </c>
      <c r="C18" s="23" t="inlineStr">
        <is>
          <t>ReconciliationScheduler - cron 0 30 3 * * *</t>
        </is>
      </c>
      <c r="D18" s="23" t="inlineStr">
        <is>
          <t>Reconcile ledger</t>
        </is>
      </c>
      <c r="E18" s="23" t="inlineStr">
        <is>
          <t>@Scheduled runReconciliation()</t>
        </is>
      </c>
      <c r="F18" s="23" t="inlineStr">
        <is>
          <t>-</t>
        </is>
      </c>
      <c r="G18" s="23" t="inlineStr">
        <is>
          <t>-</t>
        </is>
      </c>
      <c r="H18" s="23" t="inlineStr">
        <is>
          <t>FINANCIAL-SERVICE</t>
        </is>
      </c>
      <c r="I18" s="23" t="inlineStr">
        <is>
          <t>-</t>
        </is>
      </c>
      <c r="J18" s="23" t="inlineStr">
        <is>
          <t>reconcilePayment() / reconcilePayout()</t>
        </is>
      </c>
      <c r="K18" s="23" t="inlineStr">
        <is>
          <t>SUCCESS/REFUNDED payments &amp; SUCCESS payouts vs financial_transactions.</t>
        </is>
      </c>
      <c r="L18" s="23" t="inlineStr">
        <is>
          <t>-&gt; Notification-Svc POST /internal/notifications (RECONCILIATION_COMPLETED / DISCREPANCY)</t>
        </is>
      </c>
      <c r="M18" s="23" t="inlineStr">
        <is>
          <t>reconciliation_records</t>
        </is>
      </c>
      <c r="N18" s="23" t="inlineStr">
        <is>
          <t>-</t>
        </is>
      </c>
      <c r="O18" s="23" t="inlineStr">
        <is>
          <t>Admin notice</t>
        </is>
      </c>
      <c r="P18" s="23" t="inlineStr">
        <is>
          <t>-</t>
        </is>
      </c>
    </row>
    <row r="19" ht="25" customHeight="1" s="20">
      <c r="A19" s="23" t="inlineStr">
        <is>
          <t>7</t>
        </is>
      </c>
      <c r="B19" s="23" t="inlineStr">
        <is>
          <t>System</t>
        </is>
      </c>
      <c r="C19" s="23" t="inlineStr">
        <is>
          <t>DemoObservationGenerator - fixedDelay 60 s (demo.feed.enabled)</t>
        </is>
      </c>
      <c r="D19" s="23" t="inlineStr">
        <is>
          <t>Generate demo weather readings</t>
        </is>
      </c>
      <c r="E19" s="23" t="inlineStr">
        <is>
          <t>@Scheduled generateNextReading()</t>
        </is>
      </c>
      <c r="F19" s="23" t="inlineStr">
        <is>
          <t>-</t>
        </is>
      </c>
      <c r="G19" s="23" t="inlineStr">
        <is>
          <t>-</t>
        </is>
      </c>
      <c r="H19" s="23" t="inlineStr">
        <is>
          <t>TRIGGER-SERVICE</t>
        </is>
      </c>
      <c r="I19" s="23" t="inlineStr">
        <is>
          <t>-</t>
        </is>
      </c>
      <c r="J19" s="23" t="inlineStr">
        <is>
          <t>generateReadings()</t>
        </is>
      </c>
      <c r="K19" s="23" t="inlineStr">
        <is>
          <t>24 h backfill on startup; keeps an admin-set reading for 60 min; readings older than 3 days deleted hourly.</t>
        </is>
      </c>
      <c r="L19" s="23" t="inlineStr">
        <is>
          <t>-</t>
        </is>
      </c>
      <c r="M19" s="23" t="inlineStr">
        <is>
          <t>observations</t>
        </is>
      </c>
      <c r="N19" s="23" t="inlineStr">
        <is>
          <t>-</t>
        </is>
      </c>
      <c r="O19" s="23" t="inlineStr">
        <is>
          <t>-</t>
        </is>
      </c>
      <c r="P19" s="23" t="inlineStr">
        <is>
          <t>-</t>
        </is>
      </c>
    </row>
    <row r="20" ht="25" customHeight="1" s="20">
      <c r="A20" s="23" t="inlineStr">
        <is>
          <t>8</t>
        </is>
      </c>
      <c r="B20" s="23" t="inlineStr">
        <is>
          <t>System</t>
        </is>
      </c>
      <c r="C20" s="23" t="inlineStr">
        <is>
          <t>NotificationScheduler - cron 0 0 3 * * *</t>
        </is>
      </c>
      <c r="D20" s="23" t="inlineStr">
        <is>
          <t>Clean old read notifications</t>
        </is>
      </c>
      <c r="E20" s="23" t="inlineStr">
        <is>
          <t>@Scheduled</t>
        </is>
      </c>
      <c r="F20" s="23" t="inlineStr">
        <is>
          <t>-</t>
        </is>
      </c>
      <c r="G20" s="23" t="inlineStr">
        <is>
          <t>-</t>
        </is>
      </c>
      <c r="H20" s="23" t="inlineStr">
        <is>
          <t>NOTIFICATION-SERVICE</t>
        </is>
      </c>
      <c r="I20" s="23" t="inlineStr">
        <is>
          <t>-</t>
        </is>
      </c>
      <c r="J20" s="23" t="inlineStr">
        <is>
          <t>cleanupOldNotifications()</t>
        </is>
      </c>
      <c r="K20" s="23" t="inlineStr">
        <is>
          <t>Read notifications older than 90 days.</t>
        </is>
      </c>
      <c r="L20" s="23" t="inlineStr">
        <is>
          <t>-</t>
        </is>
      </c>
      <c r="M20" s="23" t="inlineStr">
        <is>
          <t>notifications</t>
        </is>
      </c>
      <c r="N20" s="23" t="inlineStr">
        <is>
          <t>-</t>
        </is>
      </c>
      <c r="O20" s="23" t="inlineStr">
        <is>
          <t>-</t>
        </is>
      </c>
      <c r="P20" s="23" t="inlineStr">
        <is>
          <t>-</t>
        </is>
      </c>
    </row>
    <row r="21" ht="2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</row>
    <row r="22" ht="2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</row>
  </sheetData>
  <mergeCells count="14">
    <mergeCell ref="A4:B4"/>
    <mergeCell ref="C4:J4"/>
    <mergeCell ref="A7:B7"/>
    <mergeCell ref="C7:J7"/>
    <mergeCell ref="C6:J6"/>
    <mergeCell ref="A10:B10"/>
    <mergeCell ref="A5:B5"/>
    <mergeCell ref="C10:J10"/>
    <mergeCell ref="C5:J5"/>
    <mergeCell ref="A9:B9"/>
    <mergeCell ref="A8:B8"/>
    <mergeCell ref="A6:B6"/>
    <mergeCell ref="C8:J8"/>
    <mergeCell ref="C9:J9"/>
  </mergeCells>
  <hyperlinks>
    <hyperlink ref="A2" location="'Overview'!A1" display="&lt;- Back to Overview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2026-09-27T15:25:10Z</dcterms:created>
  <dcterms:modified xmlns:dcterms="http://purl.org/dc/terms/" xmlns:xsi="http://www.w3.org/2001/XMLSchema-instance" xsi:type="dcterms:W3CDTF">2026-10-09T15:08:18Z</dcterms:modified>
  <cp:lastModifiedBy>Chigullapally, Akshaya (Hartford India)</cp:lastModifiedBy>
</cp:coreProperties>
</file>

<file path=docProps/custom.xml><?xml version="1.0" encoding="utf-8"?>
<Properties xmlns="http://schemas.openxmlformats.org/officeDocument/2006/custom-properties">
  <property name="MSIP_Label_36b19c09-48dc-483e-8a5f-9e92f1cd9848_Enabled" fmtid="{D5CDD505-2E9C-101B-9397-08002B2CF9AE}" pid="2">
    <vt:lpwstr xmlns:vt="http://schemas.openxmlformats.org/officeDocument/2006/docPropsVTypes">true</vt:lpwstr>
  </property>
  <property name="MSIP_Label_36b19c09-48dc-483e-8a5f-9e92f1cd9848_SetDate" fmtid="{D5CDD505-2E9C-101B-9397-08002B2CF9AE}" pid="3">
    <vt:lpwstr xmlns:vt="http://schemas.openxmlformats.org/officeDocument/2006/docPropsVTypes">2026-09-27T15:32:15Z</vt:lpwstr>
  </property>
  <property name="MSIP_Label_36b19c09-48dc-483e-8a5f-9e92f1cd9848_Method" fmtid="{D5CDD505-2E9C-101B-9397-08002B2CF9AE}" pid="4">
    <vt:lpwstr xmlns:vt="http://schemas.openxmlformats.org/officeDocument/2006/docPropsVTypes">Privileged</vt:lpwstr>
  </property>
  <property name="MSIP_Label_36b19c09-48dc-483e-8a5f-9e92f1cd9848_Name" fmtid="{D5CDD505-2E9C-101B-9397-08002B2CF9AE}" pid="5">
    <vt:lpwstr xmlns:vt="http://schemas.openxmlformats.org/officeDocument/2006/docPropsVTypes">NC - Hide Footer</vt:lpwstr>
  </property>
  <property name="MSIP_Label_36b19c09-48dc-483e-8a5f-9e92f1cd9848_SiteId" fmtid="{D5CDD505-2E9C-101B-9397-08002B2CF9AE}" pid="6">
    <vt:lpwstr xmlns:vt="http://schemas.openxmlformats.org/officeDocument/2006/docPropsVTypes">a311fc62-83f4-45f0-9502-1bb2247d4c8d</vt:lpwstr>
  </property>
  <property name="MSIP_Label_36b19c09-48dc-483e-8a5f-9e92f1cd9848_ActionId" fmtid="{D5CDD505-2E9C-101B-9397-08002B2CF9AE}" pid="7">
    <vt:lpwstr xmlns:vt="http://schemas.openxmlformats.org/officeDocument/2006/docPropsVTypes">3eeca038-52d2-4705-a3a0-aec9448f2a07</vt:lpwstr>
  </property>
  <property name="MSIP_Label_36b19c09-48dc-483e-8a5f-9e92f1cd9848_ContentBits" fmtid="{D5CDD505-2E9C-101B-9397-08002B2CF9AE}" pid="8">
    <vt:lpwstr xmlns:vt="http://schemas.openxmlformats.org/officeDocument/2006/docPropsVTypes">0</vt:lpwstr>
  </property>
  <property name="MSIP_Label_36b19c09-48dc-483e-8a5f-9e92f1cd9848_Tag" fmtid="{D5CDD505-2E9C-101B-9397-08002B2CF9AE}" pid="9">
    <vt:lpwstr xmlns:vt="http://schemas.openxmlformats.org/officeDocument/2006/docPropsVTypes">10, 0, 1, 1</vt:lpwstr>
  </property>
</Properties>
</file>