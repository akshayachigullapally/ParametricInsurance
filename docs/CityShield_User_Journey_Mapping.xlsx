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13471\Downloads\"/>
    </mc:Choice>
  </mc:AlternateContent>
  <xr:revisionPtr revIDLastSave="0" documentId="13_ncr:1_{0E73A5A3-8F75-40E7-8D1E-79D4CFBD77F0}" xr6:coauthVersionLast="47" xr6:coauthVersionMax="47" xr10:uidLastSave="{00000000-0000-0000-0000-000000000000}"/>
  <bookViews>
    <workbookView xWindow="-110" yWindow="-110" windowWidth="19420" windowHeight="11500" tabRatio="999" activeTab="27" xr2:uid="{00000000-000D-0000-FFFF-FFFF00000000}"/>
  </bookViews>
  <sheets>
    <sheet name="Overview" sheetId="1" r:id="rId1"/>
    <sheet name="Microservices" sheetId="3" r:id="rId2"/>
    <sheet name="API Endpoints" sheetId="4" r:id="rId3"/>
    <sheet name="Service Methods" sheetId="5" r:id="rId4"/>
    <sheet name="Inter-Service Calls" sheetId="6" r:id="rId5"/>
    <sheet name="Data Model" sheetId="8" r:id="rId6"/>
    <sheet name="Status Lifecycles" sheetId="9" r:id="rId7"/>
    <sheet name="Frontend Pages" sheetId="10" r:id="rId8"/>
    <sheet name="UJ-01" sheetId="11" r:id="rId9"/>
    <sheet name="UJ-02" sheetId="12" r:id="rId10"/>
    <sheet name="UJ-03" sheetId="13" r:id="rId11"/>
    <sheet name="UJ-04" sheetId="14" r:id="rId12"/>
    <sheet name="UJ-05" sheetId="15" r:id="rId13"/>
    <sheet name="UJ-06" sheetId="16" r:id="rId14"/>
    <sheet name="UJ-07" sheetId="17" r:id="rId15"/>
    <sheet name="UJ-08" sheetId="18" r:id="rId16"/>
    <sheet name="UJ-09" sheetId="19" r:id="rId17"/>
    <sheet name="UJ-10" sheetId="20" r:id="rId18"/>
    <sheet name="UJ-11" sheetId="21" r:id="rId19"/>
    <sheet name="UJ-12" sheetId="22" r:id="rId20"/>
    <sheet name="UJ-13" sheetId="23" r:id="rId21"/>
    <sheet name="UJ-14" sheetId="24" r:id="rId22"/>
    <sheet name="UJ-15" sheetId="25" r:id="rId23"/>
    <sheet name="UJ-16" sheetId="26" r:id="rId24"/>
    <sheet name="UJ-17" sheetId="27" r:id="rId25"/>
    <sheet name="UJ-18" sheetId="28" r:id="rId26"/>
    <sheet name="UJ-19" sheetId="29" r:id="rId27"/>
    <sheet name="UJ-20" sheetId="30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6" l="1"/>
  <c r="G46" i="6"/>
  <c r="F46" i="6"/>
  <c r="E46" i="6"/>
  <c r="D46" i="6"/>
  <c r="C46" i="6"/>
  <c r="H45" i="6"/>
  <c r="G45" i="6"/>
  <c r="F45" i="6"/>
  <c r="E45" i="6"/>
  <c r="D45" i="6"/>
  <c r="C45" i="6"/>
  <c r="H44" i="6"/>
  <c r="G44" i="6"/>
  <c r="F44" i="6"/>
  <c r="E44" i="6"/>
  <c r="D44" i="6"/>
  <c r="C44" i="6"/>
  <c r="H43" i="6"/>
  <c r="G43" i="6"/>
  <c r="F43" i="6"/>
  <c r="E43" i="6"/>
  <c r="D43" i="6"/>
  <c r="C43" i="6"/>
  <c r="H42" i="6"/>
  <c r="G42" i="6"/>
  <c r="F42" i="6"/>
  <c r="E42" i="6"/>
  <c r="D42" i="6"/>
  <c r="C42" i="6"/>
  <c r="H41" i="6"/>
  <c r="G41" i="6"/>
  <c r="F41" i="6"/>
  <c r="E41" i="6"/>
  <c r="D41" i="6"/>
  <c r="C41" i="6"/>
  <c r="R11" i="3"/>
  <c r="Q11" i="3"/>
  <c r="P11" i="3"/>
  <c r="O11" i="3"/>
  <c r="R10" i="3"/>
  <c r="Q10" i="3"/>
  <c r="P10" i="3"/>
  <c r="O10" i="3"/>
  <c r="R9" i="3"/>
  <c r="Q9" i="3"/>
  <c r="P9" i="3"/>
  <c r="O9" i="3"/>
  <c r="R8" i="3"/>
  <c r="Q8" i="3"/>
  <c r="P8" i="3"/>
  <c r="O8" i="3"/>
  <c r="R7" i="3"/>
  <c r="Q7" i="3"/>
  <c r="P7" i="3"/>
  <c r="O7" i="3"/>
  <c r="R6" i="3"/>
  <c r="Q6" i="3"/>
  <c r="P6" i="3"/>
  <c r="O6" i="3"/>
  <c r="R5" i="3"/>
  <c r="Q5" i="3"/>
  <c r="P5" i="3"/>
  <c r="O5" i="3"/>
  <c r="R4" i="3"/>
  <c r="Q4" i="3"/>
  <c r="P4" i="3"/>
  <c r="O4" i="3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B21" i="1"/>
  <c r="B20" i="1"/>
  <c r="B19" i="1"/>
  <c r="B18" i="1"/>
  <c r="B17" i="1"/>
  <c r="B16" i="1"/>
  <c r="B15" i="1"/>
  <c r="B14" i="1"/>
  <c r="B13" i="1"/>
  <c r="P12" i="3" l="1"/>
  <c r="Q12" i="3"/>
  <c r="R12" i="3"/>
  <c r="O12" i="3"/>
</calcChain>
</file>

<file path=xl/sharedStrings.xml><?xml version="1.0" encoding="utf-8"?>
<sst xmlns="http://schemas.openxmlformats.org/spreadsheetml/2006/main" count="10767" uniqueCount="4157">
  <si>
    <t>CityShield Parametric Insurance - User Journey &amp; Service Mapping</t>
  </si>
  <si>
    <t>1. Application summary</t>
  </si>
  <si>
    <t>Application</t>
  </si>
  <si>
    <t>CityShield - parametric (index-based) insurance platform. Policies pay out automatically when a measured weather/environmental index (rainfall, river level, temperature, wind...) in a location zone crosses the threshold captured in the policy, without a traditional loss-adjustment process.</t>
  </si>
  <si>
    <t>Architecture</t>
  </si>
  <si>
    <t>Microservices: Spring Boot 4.1 / Spring Cloud 2025.1.3, fully reactive (WebFlux functional routers + R2DBC), Netflix Eureka discovery, Spring Cloud Gateway (WebFlux) as edge, JWT (jjwt) auth, synchronous REST between services via @LoadBalanced WebClient (no message broker).</t>
  </si>
  <si>
    <t>Frontend</t>
  </si>
  <si>
    <t>Angular 21 SPA (standalone components, lazy routes) + NgRx 21 store/effects; role-based layouts (Public, Customer, Underwriter, Claims Officer, Admin); HTTP interceptors add Bearer token and refresh on 401; notifications pushed via SSE (EventSource).</t>
  </si>
  <si>
    <t>Persistence</t>
  </si>
  <si>
    <t>One embedded H2 file database per service under ~/.cityshield/data (database-per-service); claim evidence files under ~/.cityshield/uploads. Schema from schema.sql on startup.</t>
  </si>
  <si>
    <t>Roles</t>
  </si>
  <si>
    <t>ROLE_CUSTOMER, ROLE_UNDERWRITER, ROLE_CLAIMS_OFFICER, ROLE_CLAIMS_REVIEWER (mapped to CLAIMS_OFFICER by gateway), ROLE_ADMIN.</t>
  </si>
  <si>
    <t>Entry point</t>
  </si>
  <si>
    <t>Browser -&gt; http://localhost:8080 (API Gateway). Services: Eureka 8761, Auth 8081, Product 8082, Claims 8083, Notification 8085, Trigger 8087, Financial 8088.</t>
  </si>
  <si>
    <t>Core business loop</t>
  </si>
  <si>
    <t>Admin configures product + trigger -&gt; Customer quotes and applies -&gt; Underwriter approves -&gt; Customer pays premium -&gt; Measurement/observation breaches threshold -&gt; Trigger event -&gt; automatic claim per matching policy -&gt; Claims officer approves -&gt; Payout created -&gt; Admin disburses -&gt; receipt; notifications + audit at every step.</t>
  </si>
  <si>
    <t>2. Key figures (live formulas over the detail sheets)</t>
  </si>
  <si>
    <t>Backend microservices (business)</t>
  </si>
  <si>
    <t>Excludes Eureka and Gateway rows</t>
  </si>
  <si>
    <t>Total REST endpoints</t>
  </si>
  <si>
    <t>All routes parsed from router classes</t>
  </si>
  <si>
    <t xml:space="preserve">  - Public endpoints</t>
  </si>
  <si>
    <t>No role required by the service</t>
  </si>
  <si>
    <t xml:space="preserve">  - Secured endpoints</t>
  </si>
  <si>
    <t>JWT + role</t>
  </si>
  <si>
    <t xml:space="preserve">  - Internal (service-to-service)</t>
  </si>
  <si>
    <t>/internal/** paths</t>
  </si>
  <si>
    <t>Inter-service call paths</t>
  </si>
  <si>
    <t>Distinct client -&gt; endpoint usages</t>
  </si>
  <si>
    <t>Scheduled jobs</t>
  </si>
  <si>
    <t>@Scheduled tasks</t>
  </si>
  <si>
    <t>Frontend routes</t>
  </si>
  <si>
    <t>Angular routes</t>
  </si>
  <si>
    <t>User journeys</t>
  </si>
  <si>
    <t>Detailed in UJ-xx sheets</t>
  </si>
  <si>
    <t>3. User journey index (click to open)</t>
  </si>
  <si>
    <t>Journey ID</t>
  </si>
  <si>
    <t>Journey</t>
  </si>
  <si>
    <t>Primary actor(s)</t>
  </si>
  <si>
    <t>Services involved</t>
  </si>
  <si>
    <t>Steps</t>
  </si>
  <si>
    <t>Goal</t>
  </si>
  <si>
    <t>UJ-01</t>
  </si>
  <si>
    <t>Customer Registration, Login &amp; Session</t>
  </si>
  <si>
    <t>Customer (guest)</t>
  </si>
  <si>
    <t>Angular SPA, API Gateway, Auth-Svc, Notification-Svc</t>
  </si>
  <si>
    <t>Create an account, sign in, keep the session alive and sign out.</t>
  </si>
  <si>
    <t>UJ-02</t>
  </si>
  <si>
    <t>Browse Product Catalogue (public)</t>
  </si>
  <si>
    <t>Guest / Customer</t>
  </si>
  <si>
    <t>Angular SPA, API Gateway (public paths), Product-Svc</t>
  </si>
  <si>
    <t>Discover available parametric insurance products and their trigger rules.</t>
  </si>
  <si>
    <t>UJ-03</t>
  </si>
  <si>
    <t>Customer Profile Management</t>
  </si>
  <si>
    <t>Customer</t>
  </si>
  <si>
    <t>Angular SPA, Gateway, Auth-Svc, Notification-Svc</t>
  </si>
  <si>
    <t>Maintain personal details used on policies and claims.</t>
  </si>
  <si>
    <t>UJ-04</t>
  </si>
  <si>
    <t>Get a Quote and Accept It</t>
  </si>
  <si>
    <t>Angular SPA, Gateway, Financial-Svc, Product-Svc, Trigger-Svc, Notification-Svc</t>
  </si>
  <si>
    <t>Obtain a priced, time-limited quote for a product, zone, sum insured and term.</t>
  </si>
  <si>
    <t>UJ-05</t>
  </si>
  <si>
    <t>Apply for a Policy (standard product)</t>
  </si>
  <si>
    <t>Angular SPA, Gateway, Product-Svc, Financial-Svc, Trigger-Svc, Notification-Svc</t>
  </si>
  <si>
    <t>Submit a policy application on a catalogue product, with or without an accepted quote.</t>
  </si>
  <si>
    <t>UJ-06</t>
  </si>
  <si>
    <t>Custom (Customer-Defined) Parametric Policy</t>
  </si>
  <si>
    <t>Angular SPA, Gateway, Product-Svc, Trigger-Svc, Financial-Svc, Notification-Svc</t>
  </si>
  <si>
    <t>Design an own trigger (peril, measurement, threshold, window) and apply for cover on it.</t>
  </si>
  <si>
    <t>UJ-07</t>
  </si>
  <si>
    <t>Underwriting Review (Approve / Reject Policy)</t>
  </si>
  <si>
    <t>Underwriter (or Admin)</t>
  </si>
  <si>
    <t>Angular SPA, Gateway, Product-Svc, Trigger-Svc, Notification-Svc</t>
  </si>
  <si>
    <t>Decide on pending policy applications.</t>
  </si>
  <si>
    <t>UJ-08</t>
  </si>
  <si>
    <t>Premium Payment (mock gateway)</t>
  </si>
  <si>
    <t>Customer, Admin</t>
  </si>
  <si>
    <t>Angular SPA, Gateway, Financial-Svc, Product-Svc, Notification-Svc</t>
  </si>
  <si>
    <t>Pay the premium for a policy and confirm the payment.</t>
  </si>
  <si>
    <t>UJ-09</t>
  </si>
  <si>
    <t>Policy Servicing (view, certificate, renew, auto-renew, cancel)</t>
  </si>
  <si>
    <t>Manage an existing policy over its life.</t>
  </si>
  <si>
    <t>UJ-10</t>
  </si>
  <si>
    <t>Admin Product Setup &amp; Trigger Threshold Management</t>
  </si>
  <si>
    <t>Admin</t>
  </si>
  <si>
    <t>Create, configure, activate and tune parametric products.</t>
  </si>
  <si>
    <t>UJ-11</t>
  </si>
  <si>
    <t>Admin Reference Data: Zones, Perils, Pricing Rules</t>
  </si>
  <si>
    <t>Angular SPA, Gateway, Trigger-Svc, Financial-Svc, Product-Svc, Notification-Svc</t>
  </si>
  <si>
    <t>Maintain the geographic zones, peril catalogue and pricing rules used by products, quotes and triggers.</t>
  </si>
  <si>
    <t>UJ-12</t>
  </si>
  <si>
    <t>Automatic Parametric Claim via Measurement Console (primary flow)</t>
  </si>
  <si>
    <t>Admin (measurement operator), System, Customer</t>
  </si>
  <si>
    <t>Angular SPA, Gateway, Trigger-Svc, Product-Svc, Claims-Svc, Notification-Svc</t>
  </si>
  <si>
    <t>Record a live measurement; if it breaches any active policy's captured trigger, create a trigger event and automatic claims for every matching policy.</t>
  </si>
  <si>
    <t>UJ-13</t>
  </si>
  <si>
    <t>Trigger Monitoring, Event Validation &amp; Verification (definition-based flow)</t>
  </si>
  <si>
    <t>System (monitor), Admin</t>
  </si>
  <si>
    <t>Trigger-Svc, Product-Svc, Claims-Svc, Notification-Svc, Angular SPA</t>
  </si>
  <si>
    <t>Detect threshold breaches from validated observations and approve them into claims.</t>
  </si>
  <si>
    <t>UJ-14</t>
  </si>
  <si>
    <t>Demo Observation &amp; Threshold Simulation</t>
  </si>
  <si>
    <t>Trigger-Svc, Product-Svc, Claims-Svc, Notification-Svc</t>
  </si>
  <si>
    <t>Demonstrate end-to-end: record an observation that crosses the threshold and watch claims appear.</t>
  </si>
  <si>
    <t>UJ-15</t>
  </si>
  <si>
    <t>Customer Manual Claim (exception) with Evidence</t>
  </si>
  <si>
    <t>Angular SPA, Gateway, Claims-Svc, Product-Svc, Trigger-Svc, Notification-Svc</t>
  </si>
  <si>
    <t>Claim when a loss occurred but no automatic claim was created (or file a trigger claim manually).</t>
  </si>
  <si>
    <t>UJ-16</t>
  </si>
  <si>
    <t>Claims Officer Review (start, approve -&gt; payout, reject, settle)</t>
  </si>
  <si>
    <t>Claims Officer (or Admin)</t>
  </si>
  <si>
    <t>Angular SPA, Gateway, Claims-Svc, Financial-Svc, Notification-Svc</t>
  </si>
  <si>
    <t>Adjudicate submitted claims and trigger payout.</t>
  </si>
  <si>
    <t>UJ-17</t>
  </si>
  <si>
    <t>Payout Disbursement &amp; Receipt</t>
  </si>
  <si>
    <t>Admin, Customer</t>
  </si>
  <si>
    <t>Angular SPA, Gateway, Financial-Svc, Trigger-Svc, Product-Svc, Notification-Svc</t>
  </si>
  <si>
    <t>Pay approved claim amounts to customers and provide receipts.</t>
  </si>
  <si>
    <t>UJ-18</t>
  </si>
  <si>
    <t>Notifications, Real-time Push, Preferences &amp; Audit</t>
  </si>
  <si>
    <t>All roles</t>
  </si>
  <si>
    <t>Angular SPA, Gateway, Notification-Svc</t>
  </si>
  <si>
    <t>Receive and manage notifications; staff/admin review audit trails.</t>
  </si>
  <si>
    <t>UJ-19</t>
  </si>
  <si>
    <t>Admin User Management &amp; Dashboards</t>
  </si>
  <si>
    <t>Angular SPA, Gateway, Auth-Svc, Product-Svc, Financial-Svc</t>
  </si>
  <si>
    <t>Oversee users and platform KPIs.</t>
  </si>
  <si>
    <t>UJ-20</t>
  </si>
  <si>
    <t>Background System Jobs (no user)</t>
  </si>
  <si>
    <t>System schedulers</t>
  </si>
  <si>
    <t>Product-Svc, Financial-Svc, Trigger-Svc, Notification-Svc</t>
  </si>
  <si>
    <t>Keep policies, payments, payouts, pricing and triggers consistent without manual action.</t>
  </si>
  <si>
    <t>4. Sheet guide</t>
  </si>
  <si>
    <t>Request lifecycle, security model, headers, discovery, tech stack.</t>
  </si>
  <si>
    <t>Microservices</t>
  </si>
  <si>
    <t>One row per service: port, Eureka id, DB, tables, enums, components, dependencies, endpoint counts.</t>
  </si>
  <si>
    <t>API Endpoints</t>
  </si>
  <si>
    <t>Every endpoint (207): method, path, access, roles, handler -&gt; service method, business description, downstream calls, which Angular service/page calls it.</t>
  </si>
  <si>
    <t>Service Methods</t>
  </si>
  <si>
    <t>Public methods of every handler / service / client / scheduler class (signatures).</t>
  </si>
  <si>
    <t>Inter-Service Calls</t>
  </si>
  <si>
    <t>Every synchronous service-to-service REST call: caller class/method, target endpoint and handler, purpose, failure handling.</t>
  </si>
  <si>
    <t>Scheduled Jobs</t>
  </si>
  <si>
    <t>Background jobs with schedule and effect.</t>
  </si>
  <si>
    <t>Data Model</t>
  </si>
  <si>
    <t>Tables per service and status/enum values.</t>
  </si>
  <si>
    <t>Status Lifecycles</t>
  </si>
  <si>
    <t>State machines for policy, quote, payment, payout, claim, trigger event, observation.</t>
  </si>
  <si>
    <t>Frontend Pages</t>
  </si>
  <si>
    <t>Every Angular route: layout, role, component, NgRx actions, Angular service methods, backend endpoints.</t>
  </si>
  <si>
    <t>UJ-01 ... UJ-20</t>
  </si>
  <si>
    <t>Step-by-step journey maps: actor, screen, action, frontend call, HTTP + endpoint, target service, handler &amp; service method, rules, inter-service hops, DB, status transition, notifications, result.</t>
  </si>
  <si>
    <t>Findings</t>
  </si>
  <si>
    <t>Gaps and risks noticed while mapping (security, dead routes, doc mismatches).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</si>
  <si>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</si>
  <si>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</si>
  <si>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</si>
  <si>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</si>
  <si>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</si>
  <si>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</si>
  <si>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</si>
  <si>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</si>
  <si>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</si>
  <si>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Microservices Catalogue</t>
  </si>
  <si>
    <t>Service</t>
  </si>
  <si>
    <t>Eureka name</t>
  </si>
  <si>
    <t>Port</t>
  </si>
  <si>
    <t>Responsibility</t>
  </si>
  <si>
    <t>Gateway routes</t>
  </si>
  <si>
    <t>Database</t>
  </si>
  <si>
    <t>Tables</t>
  </si>
  <si>
    <t>Enums / status values</t>
  </si>
  <si>
    <t>Routers</t>
  </si>
  <si>
    <t>Handlers</t>
  </si>
  <si>
    <t>Services &amp; clients</t>
  </si>
  <si>
    <t>Schedulers</t>
  </si>
  <si>
    <t>Calls out to</t>
  </si>
  <si>
    <t>Called by</t>
  </si>
  <si>
    <t># Endpoints</t>
  </si>
  <si>
    <t># Public</t>
  </si>
  <si>
    <t># Secured</t>
  </si>
  <si>
    <t># Internal</t>
  </si>
  <si>
    <t>Eureka Server</t>
  </si>
  <si>
    <t>EUREKA-SERVER</t>
  </si>
  <si>
    <t>Service discovery registry. Every service registers here; the gateway and inter-service WebClients resolve lb://&lt;NAME&gt; through it.</t>
  </si>
  <si>
    <t>/eureka actuator via /eureka/actuator</t>
  </si>
  <si>
    <t>None</t>
  </si>
  <si>
    <t>-</t>
  </si>
  <si>
    <t>All services (registration / lookup)</t>
  </si>
  <si>
    <t>API Gateway</t>
  </si>
  <si>
    <t>API-GATEWAY</t>
  </si>
  <si>
    <t>Single entry point for the Angular SPA. Routes /api/** to services via Eureka load balancing, validates JWTs (GatewayJwtFilter), strips spoofable identity headers and injects X-Gateway-Key + X-Authenticated-User-Id/User/Role/Customer-Id. Proxies each service's actuator under /&lt;svc&gt;/actuator.</t>
  </si>
  <si>
    <t>(edge) /&lt;svc&gt;/actuator/**</t>
  </si>
  <si>
    <t>All services (routing)</t>
  </si>
  <si>
    <t>Angular SPA</t>
  </si>
  <si>
    <t>Auth Service</t>
  </si>
  <si>
    <t>AUTH-SERVICE</t>
  </si>
  <si>
    <t>Identity &amp; access: registration, login, JWT access/refresh tokens, sessions, email verification, password reset, customer profiles and admin user management. Seeds staff accounts (StaffDataLoader).</t>
  </si>
  <si>
    <t>/api/auth/**, /api/users/**</t>
  </si>
  <si>
    <t>H2 file (R2DBC) - ~/.cityshield/data (AuthDatabaseConfig)</t>
  </si>
  <si>
    <t>addresses, email_verification_tokens, password_reset_tokens, refresh_tokens, roles, sessions, users_credentials, user_profiles, user_roles</t>
  </si>
  <si>
    <t>CustomerSegment: INDIVIDUAL, FARMER, SMALL_BUSINESS, ENTERPRISE; UserStatus: ACTIVE, SUSPENDED, INACTIVE</t>
  </si>
  <si>
    <t>AuthRouter, UserRouter</t>
  </si>
  <si>
    <t>AuthHandler, EmailVerificationHandler, PasswordResetHandler, UserHandler</t>
  </si>
  <si>
    <t>AuthService, EmailVerificationService, NotificationServiceClient, PasswordResetService, UserProfileService</t>
  </si>
  <si>
    <t>Notification-Svc</t>
  </si>
  <si>
    <t>Gateway</t>
  </si>
  <si>
    <t>Product &amp; Policy Service</t>
  </si>
  <si>
    <t>PRODUCT-SERVICE</t>
  </si>
  <si>
    <t>Insurance product catalogue with parametric trigger configuration, policy applications, underwriting decisions, trigger snapshots, certificates, renewals/expiry, and the verified-event hook that creates automatic claims.</t>
  </si>
  <si>
    <t>/api/products/**, /api/policies/**, /internal/products/**, /internal/policies/**</t>
  </si>
  <si>
    <t>H2 file (R2DBC) - productdb</t>
  </si>
  <si>
    <t>coverages, policies, policy_status_history, policy_trigger_snapshots, products, product_threshold_history</t>
  </si>
  <si>
    <t>AggregationType: SUM, AVERAGE, MIN, MAX, LATEST; ComparisonOperator: GREATER_THAN, GREATER_THAN_OR_EQUAL, LESS_THAN, LESS_THAN_OR_EQUAL, EQUAL; MeasurementType: RAINFALL, WATER_LEVEL, TEMPERATURE, WIND_SPEED, HUMIDITY, SOIL_MOISTURE, OTHER; MeasurementUnit: MM, CM, METER, CELSIUS, KELVIN, KM_PER_HOUR, METERS_PER_SECOND, PERCENTAGE, OTHER; PerilType: EXCESS_RAINFALL, FLOOD, DROUGHT, EXTREME_TEMPERATURE, CYCLONE, HIGH_WIND, OTHER; PolicyStatus: PENDING, ACTIVE, REJECTED, CANCELLED, EXPIRED; ProductCategory: WEATHER, FLOOD, AGRICULTURE, BUSINESS_INTERRUPTION, TRAVEL, CYCLONE, OTHER; ProductStatus: DRAFT, ACTIVE, INACTIVE, ARCHIVED; TriggerSyncStatus: PENDING, SYNCED, FAILED</t>
  </si>
  <si>
    <t>InternalPolicyRouter, PolicyLifecycleRouter, PolicyRouter, ProductRouter</t>
  </si>
  <si>
    <t>InternalPolicyHandler, PolicyHandler, PolicyLifecycleHandler, ProductHandler</t>
  </si>
  <si>
    <t>NotificationService, NotificationServiceClient, PolicyCertificateService, PolicyService, ProductService, ClaimsServiceClient, FinancialServiceClient, TriggerServiceClient</t>
  </si>
  <si>
    <t>PolicyExpiryScheduler, PolicyRenewalScheduler (config pkg)</t>
  </si>
  <si>
    <t>Trigger-Svc, Financial-Svc, Claims-Svc, Notification-Svc</t>
  </si>
  <si>
    <t>Gateway, Trigger-Svc, Financial-Svc, Claims-Svc</t>
  </si>
  <si>
    <t>Claims Service</t>
  </si>
  <si>
    <t>CLAIMS-SERVICE</t>
  </si>
  <si>
    <t>Claims lifecycle: automatic (trigger) and manual-exception claims, evidence documents, officer review (start/approve/reject/settle), timeline; requests payouts on approval.</t>
  </si>
  <si>
    <t>/api/claims/**</t>
  </si>
  <si>
    <t>H2 file (R2DBC) - claimsdb (+ uploads dir ~/.cityshield/uploads)</t>
  </si>
  <si>
    <t>claims, claim_documents, claim_timeline</t>
  </si>
  <si>
    <t>ClaimSource: AUTO_TRIGGERED, MANUAL_EXCEPTION; ClaimStatus: SUBMITTED, UNDER_REVIEW, APPROVED, SETTLED, REJECTED, CANCELLED; TriggerDetectionStatus: DETECTED, NOT_DETECTED, UNDER_INVESTIGATION, CONFIRMED_MANUALLY, NOT_CONFIRMED</t>
  </si>
  <si>
    <t>ClaimDocumentRouter, ClaimRouter</t>
  </si>
  <si>
    <t>ClaimDocumentHandler, ClaimHandler</t>
  </si>
  <si>
    <t>ClaimDocumentService, ClaimService, FinancialServiceClient, NotificationService, NotificationServiceClient, TriggerEligibilityClient</t>
  </si>
  <si>
    <t>Product-Svc, Trigger-Svc, Financial-Svc, Notification-Svc</t>
  </si>
  <si>
    <t>Gateway, Product-Svc, Trigger-Svc, Financial-Svc</t>
  </si>
  <si>
    <t>Trigger Service</t>
  </si>
  <si>
    <t>TRIGGER-SERVICE</t>
  </si>
  <si>
    <t>Parametric engine: location zones, perils, trigger definitions, observations &amp; validation, evaluations, monitor scans, trigger events (detect/validate/verify/process), current measurements, policy eligibility, demo feed/simulation.</t>
  </si>
  <si>
    <t>/api/triggers/**</t>
  </si>
  <si>
    <t>H2 file (R2DBC) - triggerdb</t>
  </si>
  <si>
    <t>current_measurements, idempotency_records, location_zones, monitor_checkpoints, monitor_runs, observations, perils, trigger_definitions, trigger_evaluations, trigger_events</t>
  </si>
  <si>
    <t>AggregationType: SUM, AVERAGE, MINIMUM, MAXIMUM, LATEST; ComparisonOperator: GREATER_THAN, GREATER_THAN_OR_EQUAL, LESS_THAN, LESS_THAN_OR_EQUAL, EQUAL; LocationZoneStatus: ACTIVE, INACTIVE, ARCHIVED; MeasurementType: RAINFALL, TEMPERATURE, WIND_SPEED, HUMIDITY, RIVER_LEVEL, SOIL_MOISTURE, OTHER; MeasurementUnit: MM, CM, CELSIUS, KELVIN, KM_PER_HOUR, METERS_PER_SECOND, PERCENTAGE, METER, OTHER; MonitorRunStatus: RUNNING, COMPLETED, FAILED; ObservationSource: MOCK, MANUAL, WEATHER_API, SENSOR; ObservationStatus: RECEIVED, VALIDATED, REJECTED; PerilStatus: ACTIVE, INACTIVE, ARCHIVED; TriggerDefinitionStatus: DRAFT, ACTIVE, INACTIVE, ARCHIVED; TriggerEvaluationResult: MATCHED, NOT_MATCHED, INSUFFICIENT_OBSERVATIONS; TriggerEventStatus: DETECTED, UNDER_VALIDATION, VERIFIED, REJECTED, PROCESSED</t>
  </si>
  <si>
    <t>DemoObservationRouter, DemoSimulationRouter, LocationZoneRouter, MeasurementRouter, MonitorRunRouter, ObservationRouter, ObservationValidationRouter, PerilRouter, PolicyTriggerEligibilityRouter, TriggerDefinitionRouter, TriggerEvaluationRouter, TriggerEventRouter, ZoneMeasurementRouter</t>
  </si>
  <si>
    <t>DemoObservationHandler, DemoSimulationHandler, LocationZoneHandler, MeasurementHandler, MonitorRunHandler, ObservationHandler, ObservationValidationHandler, PerilHandler, PolicyTriggerEligibilityHandler, TriggerDefinitionHandler, TriggerEvaluationHandler, TriggerEventHandler</t>
  </si>
  <si>
    <t>DemoObservationService, DemoSimulationService, IdempotencyService, LocationZoneService, MeasurementService, MonitorRunService, NotificationService, NotificationServiceClient, ObservationService, ObservationValidationService, PerilService, PolicyTriggerEligibilityService, ProductTriggerSyncService, TriggerDefinitionService, TriggerEvaluationService, TriggerEventService, ZoneMeasurementService, ClaimsServiceClient, InternalNotificationClient, ProductTriggerClient</t>
  </si>
  <si>
    <t>MonitorRunService.runScheduledScan, DemoObservationGenerator</t>
  </si>
  <si>
    <t>Product-Svc, Claims-Svc, Notification-Svc</t>
  </si>
  <si>
    <t>Gateway, Product-Svc, Financial-Svc, Claims-Svc</t>
  </si>
  <si>
    <t>Financial Service</t>
  </si>
  <si>
    <t>FINANCIAL-SERVICE</t>
  </si>
  <si>
    <t>Money: pricing rules, quotes, premium calculation, payments (mock gateway), payouts, receipts, financial ledger, reconciliation, reminders and retries, admin metrics.</t>
  </si>
  <si>
    <t>/api/financial/**</t>
  </si>
  <si>
    <t>H2 file (R2DBC) - financialdb</t>
  </si>
  <si>
    <t>financial_transactions, payments, payouts, pricing_rules, quotes, reconciliation_records</t>
  </si>
  <si>
    <t>PaymentMethod: MOCK_CARD, MOCK_BANK_TRANSFER, MOCK_UPI; PaymentStatus: PENDING, SUCCESS, FAILED, REFUNDED; PayoutStatus: PENDING, PROCESSING, SUCCESS, FAILED; PricingRuleStatus: DRAFT, ACTIVE, INACTIVE, ARCHIVED; QuoteStatus: CREATED, ACCEPTED, EXPIRED, CANCELLED, CONSUMED</t>
  </si>
  <si>
    <t>FinancialRouter, PayoutReceiptRouter</t>
  </si>
  <si>
    <t>MetricsHandler, PaymentHandler, PayoutHandler, PayoutReceiptHandler, PricingRuleHandler, QuoteHandler</t>
  </si>
  <si>
    <t>ClaimsServiceClient, DefaultPricingRuleProvisioner, FinancialTransactionService, MetricsService, NotificationService, NotificationServiceClient, PaymentService, PayoutReceiptService, PayoutService, PricingRuleService, ProductServiceClient, QuoteService, TriggerServiceClient</t>
  </si>
  <si>
    <t>DefaultPricingRuleScheduler, PaymentRetryScheduler, PayoutRetryScheduler, PremiumReminderScheduler, ReconciliationScheduler</t>
  </si>
  <si>
    <t>Product-Svc, Trigger-Svc, Claims-Svc, Notification-Svc</t>
  </si>
  <si>
    <t>Gateway, Product-Svc, Claims-Svc</t>
  </si>
  <si>
    <t>Notification Service</t>
  </si>
  <si>
    <t>NOTIFICATION-SERVICE</t>
  </si>
  <si>
    <t>In-app notifications (SSE live stream), templates, preferences, delivery attempts and the central audit-event log used by every service.</t>
  </si>
  <si>
    <t>/api/notifications/**</t>
  </si>
  <si>
    <t>H2 file (R2DBC) - notificationdb</t>
  </si>
  <si>
    <t>audit_events, default_templates, delivery_attempts, notifications, notification_preferences, notification_templates</t>
  </si>
  <si>
    <t>DeliveryChannel: IN_APP; DeliveryStatus: CREATED; NotificationType: POLICY_SUBMITTED, POLICY_APPROVED, POLICY_REJECTED, POLICY_CANCELLED, POLICY_EXPIRED, POLICY_RENEWAL_DUE, POLICY_DOCUMENT_REQUESTED, PRODUCT_CREATED, PRODUCT_UPDATED, CLAIM_SUBMITTED, CLAIM_UNDER_REVIEW, CLAIM_APPROVED, CLAIM_REJECTED, CLAIM_CANCELLED, CLAIM_SETTLED, MANUAL_CLAIM_SUBMITTED, MANUAL_CLAIM_INVESTIGATION_STARTED, MANUAL_CLAIM_INVESTIGATION_COMPLETED, AUTOMATIC_CLAIM_CREATED, CLAIM_DOCUMENT_REQUESTED, CLAIM_REMINDER, CLAIM_ESCALATED, CLAIM_PAYMENT_INITIATED, TRIGGER_DETECTED, TRIGGER_VERIFIED, TRIGGER_REJECTED, TRIGGER_PROCESSED, THRESHOLD_APPROACHING, TRIGGER_THRESHOLD_EXCEEDED, TRIGGER_EVENT_DETECTED, TRIGGER_EVENT_VERIFIED, TRIGGER_EVENT_REJECTED, MANUAL_TRIGGER_CONFIRMED, MANUAL_TRIGGER_NOT_CONFIRMED, PARAMETRIC_COVERAGE_TRIGGERED, OBSERVATION_CREATED, PERIL_CREATED, TRIGGER_DEFINITION_CREATED, LOCATION_ZONE_CREATED, PAYMENT_SUCCESS, PAYMENT_FAILED, PAYMENT_PENDING, PAYMENT_RETRY, PAYMENT_REFUNDED, PAYOUT_PROCESSED, PAYOUT_INITIATED, PAYOUT_SUCCESS, PAYOUT_FAILED, PAYOUT_PENDING, PAYOUT_RETRY, QUOTE_CREATED, QUOTE_EXPIRED, QUOTE_CONSUMED, PREMIUM_DUE, PREMIUM_OVERDUE, REFUND_PROCESSED, REFUND_FAILED, RECONCILIATION_COMPLETED, RECONCILIATION_DISCREPANCY, PRICING_RULE_CREATED, PRICING_RULE_UPDATED, GENERAL; RelatedEntityType: POLICY, CLAIM, TRIGGER_EVENT, PAYMENT, PAYOUT, QUOTE, PRICING_RULE, RECONCILIATION, USER, PRODUCT</t>
  </si>
  <si>
    <t>NotificationRouter</t>
  </si>
  <si>
    <t>AuditEventHandler, DeliveryAttemptHandler, NotificationHandler, NotificationPreferenceHandler, NotificationTemplateHandler</t>
  </si>
  <si>
    <t>AuditEventService, DeliveryAttemptService, EmailDeliveryService, NotificationDeliveryService, NotificationPreferenceService, NotificationScheduler, NotificationService, NotificationStream, NotificationTemplateService, SmsDeliveryService</t>
  </si>
  <si>
    <t>NotificationScheduler</t>
  </si>
  <si>
    <t>- (leaf service)</t>
  </si>
  <si>
    <t>Gateway, all business services</t>
  </si>
  <si>
    <t>Total</t>
  </si>
  <si>
    <t>API Endpoint Catalogue (all services)</t>
  </si>
  <si>
    <t>ID</t>
  </si>
  <si>
    <t>Router</t>
  </si>
  <si>
    <t>HTTP</t>
  </si>
  <si>
    <t>Path</t>
  </si>
  <si>
    <t>Consumes</t>
  </si>
  <si>
    <t>Scope</t>
  </si>
  <si>
    <t>Allowed roles</t>
  </si>
  <si>
    <t>Gateway / access path</t>
  </si>
  <si>
    <t>Handler method</t>
  </si>
  <si>
    <t>Delegates to (service methods)</t>
  </si>
  <si>
    <t>Business description &amp; rules</t>
  </si>
  <si>
    <t>Downstream calls / side effects (notifications, audit, DB)</t>
  </si>
  <si>
    <t>Called from SPA (Angular service.method)</t>
  </si>
  <si>
    <t>SPA pages (routes)</t>
  </si>
  <si>
    <t>EP-001</t>
  </si>
  <si>
    <t>AuthRouter</t>
  </si>
  <si>
    <t>POST</t>
  </si>
  <si>
    <t>/api/auth/register</t>
  </si>
  <si>
    <t>application/json</t>
  </si>
  <si>
    <t>Public</t>
  </si>
  <si>
    <t>PUBLIC</t>
  </si>
  <si>
    <t>Public (no JWT)</t>
  </si>
  <si>
    <t>AuthHandler.register()</t>
  </si>
  <si>
    <t>AuthService.register()</t>
  </si>
  <si>
    <t>Register a new customer account. Normalises email, rejects duplicates, assigns ROLE_CUSTOMER, creates user_credentials + user_roles + initial user_profile, issues access/refresh JWTs and a session.</t>
  </si>
  <si>
    <t>DB: users_credentials, user_roles, user_profiles, sessions, refresh_tokens | Notification-Svc POST /internal/audit-events (USER_REGISTERED)</t>
  </si>
  <si>
    <t>AuthService.register</t>
  </si>
  <si>
    <t>/register</t>
  </si>
  <si>
    <t>EP-002</t>
  </si>
  <si>
    <t>/api/auth/login</t>
  </si>
  <si>
    <t>AuthHandler.login()</t>
  </si>
  <si>
    <t>AuthService.login()</t>
  </si>
  <si>
    <t>Authenticate with email + password (BCrypt). Validates user status is ACTIVE, creates a session (device name + IP) and returns access token (15 min) + refresh token (7 days).</t>
  </si>
  <si>
    <t>DB: sessions, refresh_tokens | Notification-Svc POST /internal/audit-events (USER_LOGIN)</t>
  </si>
  <si>
    <t>AuthService.login</t>
  </si>
  <si>
    <t>/login</t>
  </si>
  <si>
    <t>EP-003</t>
  </si>
  <si>
    <t>/api/auth/refresh</t>
  </si>
  <si>
    <t>AuthHandler.refresh()</t>
  </si>
  <si>
    <t>AuthService.refresh()</t>
  </si>
  <si>
    <t>Exchange a valid refresh token for a new access/refresh token pair (token rotation).</t>
  </si>
  <si>
    <t>DB: refresh_tokens, sessions</t>
  </si>
  <si>
    <t>AuthService.refresh</t>
  </si>
  <si>
    <t>EP-004</t>
  </si>
  <si>
    <t>/api/auth/logout</t>
  </si>
  <si>
    <t>Secured</t>
  </si>
  <si>
    <t>AUTHENTICATED</t>
  </si>
  <si>
    <t>JWT required (Bearer)</t>
  </si>
  <si>
    <t>AuthHandler.logout()</t>
  </si>
  <si>
    <t>AuthService.logout()</t>
  </si>
  <si>
    <t>Revoke the supplied refresh token and end the current session.</t>
  </si>
  <si>
    <t>AuthService.logout</t>
  </si>
  <si>
    <t>EP-005</t>
  </si>
  <si>
    <t>GET</t>
  </si>
  <si>
    <t>/api/auth/me</t>
  </si>
  <si>
    <t>AuthHandler.me()</t>
  </si>
  <si>
    <t>Return the signed-in user (id, name, email, role, customerId). Used by the SPA to restore a session on reload.</t>
  </si>
  <si>
    <t>DB read: users_credentials, user_profiles</t>
  </si>
  <si>
    <t>AuthService.me</t>
  </si>
  <si>
    <t>EP-006</t>
  </si>
  <si>
    <t>/api/auth/sessions</t>
  </si>
  <si>
    <t>AuthHandler.sessions()</t>
  </si>
  <si>
    <t>AuthService.getSessions()</t>
  </si>
  <si>
    <t>List the caller's active sessions (device, IP, last seen).</t>
  </si>
  <si>
    <t>DB read: sessions</t>
  </si>
  <si>
    <t>AuthService.getSessions</t>
  </si>
  <si>
    <t>EP-007</t>
  </si>
  <si>
    <t>DELETE</t>
  </si>
  <si>
    <t>/api/auth/sessions/{sessionId}</t>
  </si>
  <si>
    <t>AuthHandler.revokeSession()</t>
  </si>
  <si>
    <t>AuthService.revokeSession()</t>
  </si>
  <si>
    <t>Revoke one of the caller's sessions (remote sign-out).</t>
  </si>
  <si>
    <t>DB: sessions, refresh_tokens</t>
  </si>
  <si>
    <t>AuthService.revokeSession</t>
  </si>
  <si>
    <t>EP-008</t>
  </si>
  <si>
    <t>/api/auth/verify-email</t>
  </si>
  <si>
    <t>JWT required at gateway (service itself permits anonymous)</t>
  </si>
  <si>
    <t>EmailVerificationHandler.verify()</t>
  </si>
  <si>
    <t>EmailVerificationService.verify()</t>
  </si>
  <si>
    <t>Verify an email address with a token (24 h expiry).</t>
  </si>
  <si>
    <t>DB: email_verification_tokens, users_credentials</t>
  </si>
  <si>
    <t>(not called by SPA)</t>
  </si>
  <si>
    <t>EP-009</t>
  </si>
  <si>
    <t>/api/auth/verify-email/resend</t>
  </si>
  <si>
    <t>EmailVerificationHandler.resend()</t>
  </si>
  <si>
    <t>EmailVerificationService.generateToken()</t>
  </si>
  <si>
    <t>Re-issue an email verification token for the signed-in user.</t>
  </si>
  <si>
    <t>DB: email_verification_tokens</t>
  </si>
  <si>
    <t>EP-010</t>
  </si>
  <si>
    <t>/api/auth/verify-email/resend-by-email</t>
  </si>
  <si>
    <t>EmailVerificationHandler.resendByEmail()</t>
  </si>
  <si>
    <t>EmailVerificationService.resendVerification()</t>
  </si>
  <si>
    <t>Re-issue an email verification token by email address.</t>
  </si>
  <si>
    <t>EP-011</t>
  </si>
  <si>
    <t>/api/auth/forgot-password</t>
  </si>
  <si>
    <t>PasswordResetHandler.forgotPassword()</t>
  </si>
  <si>
    <t>PasswordResetService.generateToken()</t>
  </si>
  <si>
    <t>Start password reset: generate a reset token (1 h expiry).</t>
  </si>
  <si>
    <t>DB: password_reset_tokens | Notification-Svc POST /internal/audit-events</t>
  </si>
  <si>
    <t>EP-012</t>
  </si>
  <si>
    <t>/api/auth/reset-password</t>
  </si>
  <si>
    <t>PasswordResetHandler.resetPassword()</t>
  </si>
  <si>
    <t>PasswordResetService.resetPassword()</t>
  </si>
  <si>
    <t>Complete password reset with token + new password.</t>
  </si>
  <si>
    <t>DB: password_reset_tokens, users_credentials | Notification-Svc POST /internal/audit-events</t>
  </si>
  <si>
    <t>EP-013</t>
  </si>
  <si>
    <t>UserRouter</t>
  </si>
  <si>
    <t>/api/users/me</t>
  </si>
  <si>
    <t>UserHandler.getMyProfile()</t>
  </si>
  <si>
    <t>Get my profile (personal details, segment, addresses).</t>
  </si>
  <si>
    <t>DB read: user_profiles, addresses</t>
  </si>
  <si>
    <t>EP-014</t>
  </si>
  <si>
    <t>PUT</t>
  </si>
  <si>
    <t>CUSTOMER</t>
  </si>
  <si>
    <t>UserHandler.saveMyProfile()</t>
  </si>
  <si>
    <t>UserProfileService.saveProfile()</t>
  </si>
  <si>
    <t>Create/update my profile (name, phone, DOB, segment, address).</t>
  </si>
  <si>
    <t>DB: user_profiles, addresses | Notification-Svc POST /internal/audit-events (PROFILE_UPDATED)</t>
  </si>
  <si>
    <t>EP-015</t>
  </si>
  <si>
    <t>UserHandler.deactivateMyProfile()</t>
  </si>
  <si>
    <t>Deactivate my account (status -&gt; INACTIVE).</t>
  </si>
  <si>
    <t>DB: users_credentials, user_profiles | Notification-Svc POST /internal/audit-events</t>
  </si>
  <si>
    <t>EP-016</t>
  </si>
  <si>
    <t>/api/users</t>
  </si>
  <si>
    <t>ADMIN</t>
  </si>
  <si>
    <t>UserHandler.getAllUsers()</t>
  </si>
  <si>
    <t>UserProfileService.getAllUsers()</t>
  </si>
  <si>
    <t>List all users, filterable by status and customer segment.</t>
  </si>
  <si>
    <t>UserService.getAllUsers</t>
  </si>
  <si>
    <t>/admin/dashboard, /admin/users</t>
  </si>
  <si>
    <t>EP-017</t>
  </si>
  <si>
    <t>/api/users/{userId}</t>
  </si>
  <si>
    <t>ADMIN, UNDERWRITER, CLAIMS_OFFICER</t>
  </si>
  <si>
    <t>UserHandler.getUser()</t>
  </si>
  <si>
    <t>Get a single user's profile (staff lookup of a customer).</t>
  </si>
  <si>
    <t>DB read</t>
  </si>
  <si>
    <t>UserService.getUser</t>
  </si>
  <si>
    <t>/admin/claims/:claimId, /admin/policies/:policyId, /admin/users/:userId, /claims-officer/claims/:claimId, /underwriter/policies/:policyId</t>
  </si>
  <si>
    <t>EP-018</t>
  </si>
  <si>
    <t>/api/users/{userId}/status</t>
  </si>
  <si>
    <t>UserHandler.updateStatus()</t>
  </si>
  <si>
    <t>UserProfileService.updateStatus()</t>
  </si>
  <si>
    <t>Change a user's status (ACTIVE / SUSPENDED / INACTIVE).</t>
  </si>
  <si>
    <t>DB: users_credentials | Notification-Svc POST /internal/audit-events (USER_STATUS_CHANGED)</t>
  </si>
  <si>
    <t>UserService.updateUserStatus</t>
  </si>
  <si>
    <t>/admin/users</t>
  </si>
  <si>
    <t>EP-019</t>
  </si>
  <si>
    <t>ClaimDocumentRouter</t>
  </si>
  <si>
    <t>/api/claims/{claimId}/documents</t>
  </si>
  <si>
    <t>multipart/form-data</t>
  </si>
  <si>
    <t>ClaimDocumentHandler.upload()</t>
  </si>
  <si>
    <t>ClaimDocumentService.upload()</t>
  </si>
  <si>
    <t>Upload evidence files (photos/PDF, multipart) to my claim. Files stored under ~/.cityshield/uploads, metadata in claim_documents.</t>
  </si>
  <si>
    <t>File system + DB: claim_documents | Notification-Svc POST /internal/audit-events</t>
  </si>
  <si>
    <t>ClaimService.uploadDocuments</t>
  </si>
  <si>
    <t>/customer/claims/new</t>
  </si>
  <si>
    <t>EP-020</t>
  </si>
  <si>
    <t>ClaimDocumentHandler.listMine()</t>
  </si>
  <si>
    <t>ClaimDocumentService.listForCustomer()</t>
  </si>
  <si>
    <t>List documents on my claim.</t>
  </si>
  <si>
    <t>ClaimService.getMyDocuments</t>
  </si>
  <si>
    <t>/customer/claims/:claimId</t>
  </si>
  <si>
    <t>EP-021</t>
  </si>
  <si>
    <t>/api/claims/{claimId}/documents/{documentId}</t>
  </si>
  <si>
    <t>ClaimDocumentHandler.downloadMine()</t>
  </si>
  <si>
    <t>ClaimDocumentService.downloadForCustomer()</t>
  </si>
  <si>
    <t>Download one of my claim documents.</t>
  </si>
  <si>
    <t>File system read</t>
  </si>
  <si>
    <t>ClaimService.downloadMyDocument</t>
  </si>
  <si>
    <t>EP-022</t>
  </si>
  <si>
    <t>/api/claims/review/{claimId}/documents</t>
  </si>
  <si>
    <t>CLAIMS_OFFICER, ADMIN</t>
  </si>
  <si>
    <t>ClaimDocumentHandler.listForReview()</t>
  </si>
  <si>
    <t>ClaimDocumentService.listForStaff()</t>
  </si>
  <si>
    <t>List documents on any claim under review.</t>
  </si>
  <si>
    <t>ClaimService.getReviewDocuments</t>
  </si>
  <si>
    <t>/admin/claims/:claimId, /claims-officer/claims/:claimId</t>
  </si>
  <si>
    <t>EP-023</t>
  </si>
  <si>
    <t>/api/claims/review/{claimId}/documents/{documentId}</t>
  </si>
  <si>
    <t>ClaimDocumentHandler.downloadForReview()</t>
  </si>
  <si>
    <t>ClaimDocumentService.downloadForStaff()</t>
  </si>
  <si>
    <t>Download a claim document for review.</t>
  </si>
  <si>
    <t>ClaimService.downloadReviewDocument</t>
  </si>
  <si>
    <t>/claims-officer/claims/:claimId</t>
  </si>
  <si>
    <t>EP-024</t>
  </si>
  <si>
    <t>ClaimRouter</t>
  </si>
  <si>
    <t>/api/claims/admin/all</t>
  </si>
  <si>
    <t>ClaimHandler.getAllClaims()</t>
  </si>
  <si>
    <t>ClaimService.getAllClaims()</t>
  </si>
  <si>
    <t>All claims, filter by status / customerId.</t>
  </si>
  <si>
    <t>ClaimService.getAllClaims</t>
  </si>
  <si>
    <t>/admin/claims, /admin/users/:userId</t>
  </si>
  <si>
    <t>EP-025</t>
  </si>
  <si>
    <t>/api/claims/admin/{claimId}</t>
  </si>
  <si>
    <t>ClaimHandler.getClaim()</t>
  </si>
  <si>
    <t>Any claim (admin).</t>
  </si>
  <si>
    <t>ClaimService.getAdminClaim</t>
  </si>
  <si>
    <t>/admin/claims/:claimId</t>
  </si>
  <si>
    <t>EP-026</t>
  </si>
  <si>
    <t>/api/claims/review/manual</t>
  </si>
  <si>
    <t>ClaimHandler.getManualClaims()</t>
  </si>
  <si>
    <t>ClaimService.getManualClaims()</t>
  </si>
  <si>
    <t>Queue of MANUAL_EXCEPTION claims needing investigation.</t>
  </si>
  <si>
    <t>EP-027</t>
  </si>
  <si>
    <t>/api/claims/review/manual/{claimId}</t>
  </si>
  <si>
    <t>ClaimHandler.getManualClaim()</t>
  </si>
  <si>
    <t>One manual exception claim.</t>
  </si>
  <si>
    <t>EP-028</t>
  </si>
  <si>
    <t>/api/claims/review/submitted</t>
  </si>
  <si>
    <t>ClaimHandler.getSubmittedClaims()</t>
  </si>
  <si>
    <t>ClaimService.getSubmittedClaims()</t>
  </si>
  <si>
    <t>Claims queue: SUBMITTED + UNDER_REVIEW claims.</t>
  </si>
  <si>
    <t>ClaimService.getSubmittedClaims</t>
  </si>
  <si>
    <t>/claims-officer/claims, /claims-officer/dashboard</t>
  </si>
  <si>
    <t>EP-029</t>
  </si>
  <si>
    <t>/api/claims/review/history</t>
  </si>
  <si>
    <t>ClaimHandler.getReviewHistory()</t>
  </si>
  <si>
    <t>ClaimService.getReviewHistory()</t>
  </si>
  <si>
    <t>Decisions made by the calling officer.</t>
  </si>
  <si>
    <t>DB read: claim_timeline, claims</t>
  </si>
  <si>
    <t>ClaimService.getReviewHistory</t>
  </si>
  <si>
    <t>/claims-officer/history</t>
  </si>
  <si>
    <t>EP-030</t>
  </si>
  <si>
    <t>/api/claims/review/{claimId}</t>
  </si>
  <si>
    <t>Any claim for review.</t>
  </si>
  <si>
    <t>ClaimService.getReviewClaim</t>
  </si>
  <si>
    <t>EP-031</t>
  </si>
  <si>
    <t>/api/claims/me</t>
  </si>
  <si>
    <t>ClaimHandler.getMyClaims()</t>
  </si>
  <si>
    <t>ClaimService.getMyClaims()</t>
  </si>
  <si>
    <t>My claims (optional status filter).</t>
  </si>
  <si>
    <t>ClaimService.getMyClaims</t>
  </si>
  <si>
    <t>/customer/claims, /customer/dashboard</t>
  </si>
  <si>
    <t>EP-032</t>
  </si>
  <si>
    <t>/api/claims/{claimId}</t>
  </si>
  <si>
    <t>ClaimHandler.getMyClaim()</t>
  </si>
  <si>
    <t>ClaimService.getMyClaim()</t>
  </si>
  <si>
    <t>One of my claims.</t>
  </si>
  <si>
    <t>ClaimService.getMyClaim</t>
  </si>
  <si>
    <t>/customer/claims, /customer/claims/:claimId</t>
  </si>
  <si>
    <t>EP-033</t>
  </si>
  <si>
    <t>/api/claims</t>
  </si>
  <si>
    <t>ClaimHandler.createClaim()</t>
  </si>
  <si>
    <t>ClaimService.createClaim()</t>
  </si>
  <si>
    <t>Submit a claim. AUTO path: policy must be ACTIVE &amp; owned, Trigger-Svc must confirm a VERIFIED event satisfies the policy snapshot, no duplicate claim for that event. MANUAL_EXCEPTION path: customer confirms loss + evidence description, no duplicate manual claim for same date; flagged for manual review.</t>
  </si>
  <si>
    <t>Product-Svc GET /internal/policies/{id} | Trigger-Svc GET /internal/triggers/policy/{policyId}/eligibility (auto path) | DB: claims, claim_timeline | Notification-Svc POST /internal/notifications (CLAIM_SUBMITTED / MANUAL_CLAIM_SUBMITTED + pending-review to officers) | Notification-Svc POST /internal/audit-events (CLAIM_SUBMITTED)</t>
  </si>
  <si>
    <t>ClaimService.createClaim</t>
  </si>
  <si>
    <t>EP-034</t>
  </si>
  <si>
    <t>/api/claims/{claimId}/cancel</t>
  </si>
  <si>
    <t>ClaimHandler.cancelClaim()</t>
  </si>
  <si>
    <t>ClaimService.cancelClaim()</t>
  </si>
  <si>
    <t>Cancel my SUBMITTED claim (SUBMITTED -&gt; CANCELLED).</t>
  </si>
  <si>
    <t>DB: claims, claim_timeline | Notification-Svc POST /internal/notifications (CLAIM_CANCELLED) | Notification-Svc POST /internal/audit-events</t>
  </si>
  <si>
    <t>ClaimService.cancelClaim</t>
  </si>
  <si>
    <t>EP-035</t>
  </si>
  <si>
    <t>/api/claims/{claimId}/start-review</t>
  </si>
  <si>
    <t>ClaimHandler.startReview()</t>
  </si>
  <si>
    <t>ClaimService.startReview()</t>
  </si>
  <si>
    <t>Pick up a claim (SUBMITTED -&gt; UNDER_REVIEW).</t>
  </si>
  <si>
    <t>DB: claims, claim_timeline | Notification-Svc POST /internal/notifications (CLAIM_UNDER_REVIEW) | Notification-Svc POST /internal/audit-events</t>
  </si>
  <si>
    <t>ClaimService.startReview</t>
  </si>
  <si>
    <t>EP-036</t>
  </si>
  <si>
    <t>/api/claims/{claimId}/approve</t>
  </si>
  <si>
    <t>ClaimHandler.approveClaim()</t>
  </si>
  <si>
    <t>ClaimService.approveClaim(), ClaimService.requestPayout()</t>
  </si>
  <si>
    <t>Approve (UNDER_REVIEW -&gt; APPROVED) with approvedAmount (&gt;0 and &lt;= claimedAmount). Handler then automatically requests a payout from Financial-Svc.</t>
  </si>
  <si>
    <t>DB: claims, claim_timeline | Notification-Svc POST /internal/notifications (CLAIM_APPROVED) | Notification-Svc POST /internal/audit-events (CLAIM_APPROVED) | Financial-Svc POST /internal/financial/payouts (creates PENDING payout; errors swallowed)</t>
  </si>
  <si>
    <t>ClaimService.approveClaim</t>
  </si>
  <si>
    <t>EP-037</t>
  </si>
  <si>
    <t>/api/claims/{claimId}/reject</t>
  </si>
  <si>
    <t>ClaimHandler.rejectClaim()</t>
  </si>
  <si>
    <t>ClaimService.rejectClaim()</t>
  </si>
  <si>
    <t>Reject (UNDER_REVIEW -&gt; REJECTED) with reason.</t>
  </si>
  <si>
    <t>DB: claims, claim_timeline | Notification-Svc POST /internal/notifications (CLAIM_REJECTED) | Notification-Svc POST /internal/audit-events</t>
  </si>
  <si>
    <t>ClaimService.rejectClaim</t>
  </si>
  <si>
    <t>EP-038</t>
  </si>
  <si>
    <t>/api/claims/{claimId}/settle</t>
  </si>
  <si>
    <t>ClaimHandler.settleClaim()</t>
  </si>
  <si>
    <t>ClaimService.settleClaim()</t>
  </si>
  <si>
    <t>Settle (APPROVED -&gt; SETTLED) with optional notes.</t>
  </si>
  <si>
    <t>DB: claims, claim_timeline | Notification-Svc POST /internal/notifications (CLAIM_SETTLED) | Notification-Svc POST /internal/audit-events</t>
  </si>
  <si>
    <t>ClaimService.settleClaim</t>
  </si>
  <si>
    <t>EP-039</t>
  </si>
  <si>
    <t>/api/claims/{claimId}/timeline</t>
  </si>
  <si>
    <t>ClaimHandler.getMyClaimTimeline()</t>
  </si>
  <si>
    <t>ClaimService.getClaimTimeline()</t>
  </si>
  <si>
    <t>Timeline of status changes on my claim.</t>
  </si>
  <si>
    <t>DB read: claim_timeline</t>
  </si>
  <si>
    <t>ClaimService.getMyClaimTimeline</t>
  </si>
  <si>
    <t>EP-040</t>
  </si>
  <si>
    <t>/api/claims/admin/{claimId}/timeline</t>
  </si>
  <si>
    <t>ClaimHandler.getClaimTimeline()</t>
  </si>
  <si>
    <t>ClaimService.getClaimTimelineAdmin()</t>
  </si>
  <si>
    <t>Timeline of any claim.</t>
  </si>
  <si>
    <t>ClaimService.getAdminClaimTimeline</t>
  </si>
  <si>
    <t>EP-041</t>
  </si>
  <si>
    <t>/internal/claims/{claimId}</t>
  </si>
  <si>
    <t>Internal</t>
  </si>
  <si>
    <t>INTERNAL</t>
  </si>
  <si>
    <t>Not routed by gateway - service-to-service only via Eureka (lb://) with X-Gateway-Key</t>
  </si>
  <si>
    <t>ClaimHandler.getInternalClaim()</t>
  </si>
  <si>
    <t>Claim summary (status, approvedAmount, customer, policy, triggerEventId) for Financial-Svc payout creation.</t>
  </si>
  <si>
    <t>(service-to-service)</t>
  </si>
  <si>
    <t>EP-042</t>
  </si>
  <si>
    <t>/internal/claims</t>
  </si>
  <si>
    <t>ClaimHandler.createInternalClaim()</t>
  </si>
  <si>
    <t>ClaimService.createInternalClaim()</t>
  </si>
  <si>
    <t>Create one automatic claim for a policy (from Product-Svc verified-event hook). Re-checks policy ACTIVE and Trigger-Svc eligibility, rejects duplicates.</t>
  </si>
  <si>
    <t>Product-Svc GET /internal/policies/{id} | Trigger-Svc GET /internal/triggers/policy/{policyId}/eligibility | DB: claims, claim_timeline</t>
  </si>
  <si>
    <t>EP-043</t>
  </si>
  <si>
    <t>/internal/claims/from-trigger-event</t>
  </si>
  <si>
    <t>ClaimHandler.createClaimsFromTriggerEvent()</t>
  </si>
  <si>
    <t>Bulk-create AUTO_TRIGGERED claims (status SUBMITTED, claimedAmount = sum insured) for each matched policy of a trigger event; idempotent per (policyId, triggerEventId). Returns CREATED / EXISTING / FAILED per policy.</t>
  </si>
  <si>
    <t>DB: claims, claim_timeline | Notification-Svc POST /internal/notifications (CLAIM_SUBMITTED to customer + pending-review to officers)</t>
  </si>
  <si>
    <t>EP-044</t>
  </si>
  <si>
    <t>FinancialRouter</t>
  </si>
  <si>
    <t>/api/financial/pricing-rules</t>
  </si>
  <si>
    <t>PricingRuleHandler.create()</t>
  </si>
  <si>
    <t>Create a pricing rule for product (+ optional zone): base annual rate, term factor, location factor, minimum premium, validity.</t>
  </si>
  <si>
    <t>Product-Svc GET /internal/products/{id} (must be ACTIVE) | Trigger-Svc GET /internal/triggers/zones/{zoneId} (must be ACTIVE) | DB: pricing_rules | Notification-Svc POST /internal/notifications (PRICING_RULE_CREATED) | Notification-Svc POST /internal/audit-events</t>
  </si>
  <si>
    <t>PricingRuleService.createRule</t>
  </si>
  <si>
    <t>/admin/pricing-rules</t>
  </si>
  <si>
    <t>EP-045</t>
  </si>
  <si>
    <t>PricingRuleHandler.findAll()</t>
  </si>
  <si>
    <t>PricingRuleService.findAll()</t>
  </si>
  <si>
    <t>List all pricing rules.</t>
  </si>
  <si>
    <t>PricingRuleService.getAllRules</t>
  </si>
  <si>
    <t>EP-046</t>
  </si>
  <si>
    <t>/api/financial/pricing-rules/{ruleId}</t>
  </si>
  <si>
    <t>PricingRuleHandler.findById()</t>
  </si>
  <si>
    <t>PricingRuleService.findById()</t>
  </si>
  <si>
    <t>Get a pricing rule.</t>
  </si>
  <si>
    <t>PricingRuleService.getRule</t>
  </si>
  <si>
    <t>EP-047</t>
  </si>
  <si>
    <t>PricingRuleHandler.update()</t>
  </si>
  <si>
    <t>PricingRuleService.update()</t>
  </si>
  <si>
    <t>Update a pricing rule (re-validates product and zone).</t>
  </si>
  <si>
    <t>Product-Svc / Trigger-Svc validation | DB | Notification-Svc POST /internal/notifications (PRICING_RULE_UPDATED) | Notification-Svc POST /internal/audit-events</t>
  </si>
  <si>
    <t>PricingRuleService.updateRule</t>
  </si>
  <si>
    <t>EP-048</t>
  </si>
  <si>
    <t>/api/financial/pricing-rules/{ruleId}/status</t>
  </si>
  <si>
    <t>PricingRuleHandler.updateStatus()</t>
  </si>
  <si>
    <t>PricingRuleService.updateStatus()</t>
  </si>
  <si>
    <t>Change rule status (DRAFT / ACTIVE / INACTIVE / ARCHIVED).</t>
  </si>
  <si>
    <t>Product-Svc GET /internal/products/{id} when activating | DB | Notification-Svc POST /internal/audit-events</t>
  </si>
  <si>
    <t>PricingRuleService.updateStatus</t>
  </si>
  <si>
    <t>EP-049</t>
  </si>
  <si>
    <t>PricingRuleHandler.archive()</t>
  </si>
  <si>
    <t>PricingRuleService.archive()</t>
  </si>
  <si>
    <t>Archive a pricing rule.</t>
  </si>
  <si>
    <t>DB | Notification-Svc POST /internal/audit-events</t>
  </si>
  <si>
    <t>PricingRuleService.archiveRule</t>
  </si>
  <si>
    <t>EP-050</t>
  </si>
  <si>
    <t>/api/financial/quotes</t>
  </si>
  <si>
    <t>QuoteHandler.create()</t>
  </si>
  <si>
    <t>Get a quote: validates product limits and zone, finds applicable ACTIVE pricing rule. Premium = max(sumInsured x annualRate x (term/12) x termFactor x locationFactor, minimumPremium). Quote expires in 7 days.</t>
  </si>
  <si>
    <t>Product-Svc GET /internal/products/{id} | Trigger-Svc GET /internal/triggers/zones/{zoneId} | DB: quotes | Notification-Svc POST /internal/audit-events (QUOTE_CREATED) | Notification-Svc POST /internal/notifications (QUOTE_CREATED)</t>
  </si>
  <si>
    <t>QuoteService.createQuote</t>
  </si>
  <si>
    <t>/customer/quotes</t>
  </si>
  <si>
    <t>EP-051</t>
  </si>
  <si>
    <t>/api/financial/quotes/me</t>
  </si>
  <si>
    <t>QuoteHandler.findMine()</t>
  </si>
  <si>
    <t>QuoteService.findMine()</t>
  </si>
  <si>
    <t>My quotes (auto-expires stale ones).</t>
  </si>
  <si>
    <t>QuoteService.getMyQuotes</t>
  </si>
  <si>
    <t>EP-052</t>
  </si>
  <si>
    <t>/api/financial/quotes/{quoteId}</t>
  </si>
  <si>
    <t>QuoteHandler.findById()</t>
  </si>
  <si>
    <t>One of my quotes.</t>
  </si>
  <si>
    <t>QuoteService.getQuote</t>
  </si>
  <si>
    <t>/customer/policies/new</t>
  </si>
  <si>
    <t>EP-053</t>
  </si>
  <si>
    <t>/api/financial/quotes/{quoteId}/accept</t>
  </si>
  <si>
    <t>QuoteHandler.accept()</t>
  </si>
  <si>
    <t>QuoteService.accept()</t>
  </si>
  <si>
    <t>Accept a CREATED quote (-&gt; ACCEPTED). Rejected if CONSUMED / EXPIRED / CANCELLED.</t>
  </si>
  <si>
    <t>DB: quotes | Notification-Svc POST /internal/audit-events (QUOTE_ACCEPTED)</t>
  </si>
  <si>
    <t>QuoteService.acceptQuote</t>
  </si>
  <si>
    <t>EP-054</t>
  </si>
  <si>
    <t>/api/financial/quotes/{quoteId}/cancel</t>
  </si>
  <si>
    <t>QuoteHandler.cancel()</t>
  </si>
  <si>
    <t>QuoteService.cancel()</t>
  </si>
  <si>
    <t>Cancel my quote (-&gt; CANCELLED).</t>
  </si>
  <si>
    <t>DB: quotes | Notification-Svc POST /internal/audit-events</t>
  </si>
  <si>
    <t>QuoteService.cancelQuote</t>
  </si>
  <si>
    <t>EP-055</t>
  </si>
  <si>
    <t>/internal/financial/pricing/calculate</t>
  </si>
  <si>
    <t>QuoteHandler.priceInternal()</t>
  </si>
  <si>
    <t>Price a policy application without a quote (Product-Svc). Returns rule id, factors and premium.</t>
  </si>
  <si>
    <t>DB read: pricing_rules</t>
  </si>
  <si>
    <t>EP-056</t>
  </si>
  <si>
    <t>/internal/financial/quotes/{quoteId}/validate</t>
  </si>
  <si>
    <t>QuoteHandler.validateInternal()</t>
  </si>
  <si>
    <t>QuoteService.validateInternal()</t>
  </si>
  <si>
    <t>Validate that a quote matches the policy application (customer, product, zone, sum insured, term, ACCEPTED, not expired). Returns valid flag + premium.</t>
  </si>
  <si>
    <t>DB: quotes (may mark EXPIRED)</t>
  </si>
  <si>
    <t>EP-057</t>
  </si>
  <si>
    <t>/internal/financial/quotes/{quoteId}/consume</t>
  </si>
  <si>
    <t>QuoteHandler.consumeInternal()</t>
  </si>
  <si>
    <t>QuoteService.consume()</t>
  </si>
  <si>
    <t>Bind an ACCEPTED quote to the new policy (-&gt; CONSUMED); idempotent for the same policy.</t>
  </si>
  <si>
    <t>DB: quotes | Notification-Svc POST /internal/audit-events (QUOTE_CONSUMED) | Notification-Svc POST /internal/notifications (QUOTE_CONSUMED)</t>
  </si>
  <si>
    <t>EP-058</t>
  </si>
  <si>
    <t>/api/financial/payments</t>
  </si>
  <si>
    <t>PaymentHandler.create()</t>
  </si>
  <si>
    <t>Pay the premium for my policy (mock card / bank / UPI). Policy must be mine; payable with CONSUMED quote or ACTIVE policy without quote; no prior SUCCESS payment. Creates PENDING payment for policy premium.</t>
  </si>
  <si>
    <t>Product-Svc GET /internal/policies/{id} | DB: payments | Notification-Svc POST /internal/audit-events (PAYMENT_CREATED) | Notification-Svc POST /internal/notifications (PAYMENT_PENDING)</t>
  </si>
  <si>
    <t>PaymentService.createPayment</t>
  </si>
  <si>
    <t>/customer/payments</t>
  </si>
  <si>
    <t>EP-059</t>
  </si>
  <si>
    <t>/api/financial/payments/me</t>
  </si>
  <si>
    <t>PaymentHandler.findMine()</t>
  </si>
  <si>
    <t>PaymentService.findMine()</t>
  </si>
  <si>
    <t>My payments.</t>
  </si>
  <si>
    <t>PaymentService.getMyPayments</t>
  </si>
  <si>
    <t>/customer/dashboard, /customer/payments</t>
  </si>
  <si>
    <t>EP-060</t>
  </si>
  <si>
    <t>/api/financial/payments/{paymentId}</t>
  </si>
  <si>
    <t>CUSTOMER, ADMIN</t>
  </si>
  <si>
    <t>PaymentHandler.findById()</t>
  </si>
  <si>
    <t>PaymentService.findById()</t>
  </si>
  <si>
    <t>A payment (customer: own only).</t>
  </si>
  <si>
    <t>PaymentService.getPayment</t>
  </si>
  <si>
    <t>EP-061</t>
  </si>
  <si>
    <t>/api/financial/payments/admin/all</t>
  </si>
  <si>
    <t>PaymentHandler.findAll()</t>
  </si>
  <si>
    <t>PaymentService.findAll()</t>
  </si>
  <si>
    <t>All payments.</t>
  </si>
  <si>
    <t>PaymentService.getAllPayments</t>
  </si>
  <si>
    <t>/admin/payments</t>
  </si>
  <si>
    <t>EP-062</t>
  </si>
  <si>
    <t>/api/financial/payments/{paymentId}/success</t>
  </si>
  <si>
    <t>PaymentHandler.success()</t>
  </si>
  <si>
    <t>PaymentService.success()</t>
  </si>
  <si>
    <t>Mark PENDING payment SUCCESS (mock gateway confirmation, optional external reference).</t>
  </si>
  <si>
    <t>DB: payments, financial_transactions | Notification-Svc POST /internal/audit-events (PAYMENT_SUCCESS) | Notification-Svc POST /internal/notifications (PAYMENT_SUCCESS)</t>
  </si>
  <si>
    <t>PaymentService.markSuccess</t>
  </si>
  <si>
    <t>EP-063</t>
  </si>
  <si>
    <t>/api/financial/payments/{paymentId}/fail</t>
  </si>
  <si>
    <t>PaymentHandler.fail()</t>
  </si>
  <si>
    <t>PaymentService.fail()</t>
  </si>
  <si>
    <t>Mark PENDING payment FAILED with reason.</t>
  </si>
  <si>
    <t>DB: payments | Notification-Svc POST /internal/audit-events (PAYMENT_FAILED) | Notification-Svc POST /internal/notifications (PAYMENT_FAILED)</t>
  </si>
  <si>
    <t>PaymentService.markFail</t>
  </si>
  <si>
    <t>EP-064</t>
  </si>
  <si>
    <t>/api/financial/payments/{paymentId}/refund</t>
  </si>
  <si>
    <t>PaymentHandler.refund()</t>
  </si>
  <si>
    <t>PaymentService.refund()</t>
  </si>
  <si>
    <t>Refund a SUCCESS payment (-&gt; REFUNDED).</t>
  </si>
  <si>
    <t>DB: payments, financial_transactions | Notification-Svc POST /internal/audit-events | Notification-Svc POST /internal/notifications (PAYMENT_REFUNDED, REFUND_PROCESSED)</t>
  </si>
  <si>
    <t>PaymentService.refundPayment</t>
  </si>
  <si>
    <t>EP-065</t>
  </si>
  <si>
    <t>/api/financial/payments/{paymentId}/retry</t>
  </si>
  <si>
    <t>PaymentHandler.retry()</t>
  </si>
  <si>
    <t>PaymentService.retry()</t>
  </si>
  <si>
    <t>Retry a FAILED payment (-&gt; PENDING, attempt+1).</t>
  </si>
  <si>
    <t>DB: payments | Notification-Svc POST /internal/audit-events | Notification-Svc POST /internal/notifications (PAYMENT_RETRY)</t>
  </si>
  <si>
    <t>EP-066</t>
  </si>
  <si>
    <t>/internal/financial/payments/policy/{policyId}/status</t>
  </si>
  <si>
    <t>PaymentHandler.policyStatus()</t>
  </si>
  <si>
    <t>PaymentService.policyStatus()</t>
  </si>
  <si>
    <t>Payment status summary for a policy.</t>
  </si>
  <si>
    <t>EP-067</t>
  </si>
  <si>
    <t>/api/financial/payouts</t>
  </si>
  <si>
    <t>PayoutHandler.create()</t>
  </si>
  <si>
    <t>Manually create a payout for an APPROVED claim (one payout per claim).</t>
  </si>
  <si>
    <t>Claims-Svc GET /internal/claims/{claimId} | DB: payouts, financial_transactions | Notification-Svc POST /internal/audit-events | Notification-Svc POST /internal/notifications (PAYOUT_PENDING)</t>
  </si>
  <si>
    <t>PayoutService.createPayout</t>
  </si>
  <si>
    <t>EP-068</t>
  </si>
  <si>
    <t>/api/financial/payouts/me</t>
  </si>
  <si>
    <t>PayoutHandler.findMine()</t>
  </si>
  <si>
    <t>PayoutService.findMine()</t>
  </si>
  <si>
    <t>My payouts.</t>
  </si>
  <si>
    <t>PayoutService.getMyPayouts</t>
  </si>
  <si>
    <t>EP-069</t>
  </si>
  <si>
    <t>/api/financial/payouts/{payoutId}</t>
  </si>
  <si>
    <t>PayoutHandler.findById()</t>
  </si>
  <si>
    <t>PayoutService.findById()</t>
  </si>
  <si>
    <t>A payout (customer: own only).</t>
  </si>
  <si>
    <t>PayoutService.getPayout</t>
  </si>
  <si>
    <t>EP-070</t>
  </si>
  <si>
    <t>/api/financial/payouts/admin/all</t>
  </si>
  <si>
    <t>PayoutHandler.findAll()</t>
  </si>
  <si>
    <t>PayoutService.findAll()</t>
  </si>
  <si>
    <t>All payouts.</t>
  </si>
  <si>
    <t>PayoutService.getAllPayouts</t>
  </si>
  <si>
    <t>/admin/dashboard, /admin/payouts</t>
  </si>
  <si>
    <t>EP-071</t>
  </si>
  <si>
    <t>/api/financial/payouts/{payoutId}/process</t>
  </si>
  <si>
    <t>PayoutHandler.process()</t>
  </si>
  <si>
    <t>PayoutService.process()</t>
  </si>
  <si>
    <t>Start disbursement (PENDING -&gt; PROCESSING).</t>
  </si>
  <si>
    <t>DB: payouts | Notification-Svc POST /internal/audit-events (PAYOUT_PROCESSING)</t>
  </si>
  <si>
    <t>PayoutService.processPayout</t>
  </si>
  <si>
    <t>/admin/payouts</t>
  </si>
  <si>
    <t>EP-072</t>
  </si>
  <si>
    <t>/api/financial/payouts/{payoutId}/success</t>
  </si>
  <si>
    <t>PayoutHandler.success()</t>
  </si>
  <si>
    <t>PayoutService.success()</t>
  </si>
  <si>
    <t>Complete disbursement (PROCESSING -&gt; SUCCESS). If payout came from a trigger event, marks the event PROCESSED in Trigger-Svc.</t>
  </si>
  <si>
    <t>DB: payouts, financial_transactions | Notification-Svc POST /internal/audit-events (PAYOUT_SUCCESS) | Notification-Svc POST /internal/notifications (PAYOUT_PROCESSED) | Trigger-Svc PUT /internal/triggers/events/{eventId}/processed</t>
  </si>
  <si>
    <t>PayoutService.markSuccess</t>
  </si>
  <si>
    <t>EP-073</t>
  </si>
  <si>
    <t>/api/financial/payouts/{payoutId}/fail</t>
  </si>
  <si>
    <t>PayoutHandler.fail()</t>
  </si>
  <si>
    <t>PayoutService.fail()</t>
  </si>
  <si>
    <t>Fail disbursement (PROCESSING -&gt; FAILED) with reason.</t>
  </si>
  <si>
    <t>DB: payouts | Notification-Svc POST /internal/audit-events | Notification-Svc POST /internal/notifications (PAYOUT_FAILED)</t>
  </si>
  <si>
    <t>PayoutService.markFail</t>
  </si>
  <si>
    <t>EP-074</t>
  </si>
  <si>
    <t>/api/financial/payouts/{payoutId}/retry</t>
  </si>
  <si>
    <t>PayoutHandler.retry()</t>
  </si>
  <si>
    <t>PayoutService.retry()</t>
  </si>
  <si>
    <t>Retry a FAILED payout (-&gt; PENDING, retryCount+1).</t>
  </si>
  <si>
    <t>DB: payouts | Notification-Svc POST /internal/audit-events | Notification-Svc POST /internal/notifications (PAYOUT_RETRY)</t>
  </si>
  <si>
    <t>PayoutService.retryPayout</t>
  </si>
  <si>
    <t>EP-075</t>
  </si>
  <si>
    <t>/internal/financial/payouts</t>
  </si>
  <si>
    <t>PayoutHandler.createInternal()</t>
  </si>
  <si>
    <t>Create payout for an approved claim (called by Claims-Svc right after approval).</t>
  </si>
  <si>
    <t>EP-076</t>
  </si>
  <si>
    <t>/internal/financial/payouts/claim/{claimId}</t>
  </si>
  <si>
    <t>PayoutHandler.findByClaim()</t>
  </si>
  <si>
    <t>PayoutService.findByClaim()</t>
  </si>
  <si>
    <t>Payouts for a claim.</t>
  </si>
  <si>
    <t>EP-077</t>
  </si>
  <si>
    <t>/api/financial/admin/metrics</t>
  </si>
  <si>
    <t>MetricsHandler.metrics()</t>
  </si>
  <si>
    <t>MetricsService.metrics()</t>
  </si>
  <si>
    <t>Financial KPIs (premium collected, payouts, counts by status) for the admin dashboard.</t>
  </si>
  <si>
    <t>DB read (aggregates)</t>
  </si>
  <si>
    <t>EP-078</t>
  </si>
  <si>
    <t>PayoutReceiptRouter</t>
  </si>
  <si>
    <t>/api/financial/payouts/{payoutId}/receipt</t>
  </si>
  <si>
    <t>PayoutReceiptHandler.customerReceipt()</t>
  </si>
  <si>
    <t>PayoutReceiptService.receiptForCustomer()</t>
  </si>
  <si>
    <t>Download my payout receipt (PDF).</t>
  </si>
  <si>
    <t>Product-Svc GET /internal/policies/{id}</t>
  </si>
  <si>
    <t>PayoutService.downloadReceipt</t>
  </si>
  <si>
    <t>EP-079</t>
  </si>
  <si>
    <t>/api/financial/payouts/admin/{payoutId}/receipt</t>
  </si>
  <si>
    <t>PayoutReceiptHandler.adminReceipt()</t>
  </si>
  <si>
    <t>PayoutReceiptService.receiptForAdmin()</t>
  </si>
  <si>
    <t>Download any payout receipt (PDF).</t>
  </si>
  <si>
    <t>PayoutService.downloadAdminReceipt</t>
  </si>
  <si>
    <t>EP-080</t>
  </si>
  <si>
    <t>/internal/notifications</t>
  </si>
  <si>
    <t>NotificationHandler.create()</t>
  </si>
  <si>
    <t>Create a notification (recipient user / customer / role). Idempotent via idempotencyKey. IN_APP delivery recorded; pushed to the live SSE stream.</t>
  </si>
  <si>
    <t>DB: notifications, delivery_attempts | SSE publish</t>
  </si>
  <si>
    <t>EP-081</t>
  </si>
  <si>
    <t>/internal/audit-events</t>
  </si>
  <si>
    <t>AuditEventHandler.create()</t>
  </si>
  <si>
    <t>Record an audit event (eventType, entity, actor, role, description).</t>
  </si>
  <si>
    <t>DB: audit_events</t>
  </si>
  <si>
    <t>EP-082</t>
  </si>
  <si>
    <t>/api/notifications/me</t>
  </si>
  <si>
    <t>NotificationHandler.mine()</t>
  </si>
  <si>
    <t>NotificationService.mine()</t>
  </si>
  <si>
    <t>My notifications (filters: unread, type, createdAfter, paging). Also includes role-targeted notifications.</t>
  </si>
  <si>
    <t>NotificationService.getMyNotifications, NotificationService.getMyNotificationsCreatedAfter</t>
  </si>
  <si>
    <t>/claims-officer/notifications, /customer/notifications, /underwriter/notifications</t>
  </si>
  <si>
    <t>EP-083</t>
  </si>
  <si>
    <t>/api/notifications/me/unread</t>
  </si>
  <si>
    <t>NotificationHandler.unread()</t>
  </si>
  <si>
    <t>My unread notifications.</t>
  </si>
  <si>
    <t>NotificationService.getMyUnreadNotifications</t>
  </si>
  <si>
    <t>EP-084</t>
  </si>
  <si>
    <t>/api/notifications/me/unread-count</t>
  </si>
  <si>
    <t>NotificationHandler.count()</t>
  </si>
  <si>
    <t>NotificationService.unreadCount()</t>
  </si>
  <si>
    <t>Unread badge count.</t>
  </si>
  <si>
    <t>NotificationService.getUnreadCount</t>
  </si>
  <si>
    <t>/admin/notifications</t>
  </si>
  <si>
    <t>EP-085</t>
  </si>
  <si>
    <t>/api/notifications/audit/me</t>
  </si>
  <si>
    <t>AuditEventHandler.mine()</t>
  </si>
  <si>
    <t>AuditEventService.mine()</t>
  </si>
  <si>
    <t>My activity history (audit events where I am the actor).</t>
  </si>
  <si>
    <t>DB read: audit_events</t>
  </si>
  <si>
    <t>NotificationService.getMyAuditEvents</t>
  </si>
  <si>
    <t>/admin/activity, /admin/audit, /claims-officer/activity, /customer/activity, /underwriter/activity</t>
  </si>
  <si>
    <t>EP-086</t>
  </si>
  <si>
    <t>/api/notifications/me/stream</t>
  </si>
  <si>
    <t>AUTHENTICATED (token via ?access_token=)</t>
  </si>
  <si>
    <t>JWT via ?access_token= query param (SSE)</t>
  </si>
  <si>
    <t>NotificationHandler.stream()</t>
  </si>
  <si>
    <t>NotificationService.stream()</t>
  </si>
  <si>
    <t>Server-Sent Events stream of new notifications for the caller.</t>
  </si>
  <si>
    <t>SSE (NotificationStream)</t>
  </si>
  <si>
    <t>NotificationPushService.connect</t>
  </si>
  <si>
    <t>EP-087</t>
  </si>
  <si>
    <t>/api/notifications/{notificationId}/read</t>
  </si>
  <si>
    <t>NotificationHandler.read()</t>
  </si>
  <si>
    <t>NotificationService.markRead()</t>
  </si>
  <si>
    <t>Mark one of my notifications read.</t>
  </si>
  <si>
    <t>DB: notifications</t>
  </si>
  <si>
    <t>NotificationService.markAsRead</t>
  </si>
  <si>
    <t>EP-088</t>
  </si>
  <si>
    <t>/api/notifications/me/read-all</t>
  </si>
  <si>
    <t>NotificationHandler.readAll()</t>
  </si>
  <si>
    <t>NotificationService.markAllRead()</t>
  </si>
  <si>
    <t>Mark all my notifications read.</t>
  </si>
  <si>
    <t>NotificationService.markAllAsRead</t>
  </si>
  <si>
    <t>EP-089</t>
  </si>
  <si>
    <t>/api/notifications/{notificationId}</t>
  </si>
  <si>
    <t>NotificationHandler.delete()</t>
  </si>
  <si>
    <t>NotificationService.delete()</t>
  </si>
  <si>
    <t>Delete one of my notifications.</t>
  </si>
  <si>
    <t>NotificationService.deleteNotification</t>
  </si>
  <si>
    <t>EP-090</t>
  </si>
  <si>
    <t>/api/notifications/from-template</t>
  </si>
  <si>
    <t>NotificationHandler.fromTemplate()</t>
  </si>
  <si>
    <t>Send notifications rendered from a template to recipients/channels.</t>
  </si>
  <si>
    <t>DB: notifications, delivery_attempts</t>
  </si>
  <si>
    <t>NotificationService.createFromTemplate</t>
  </si>
  <si>
    <t>EP-091</t>
  </si>
  <si>
    <t>/api/notifications/me/preferences</t>
  </si>
  <si>
    <t>NotificationPreferenceHandler.myPreferences()</t>
  </si>
  <si>
    <t>NotificationPreferenceService.myPreferences()</t>
  </si>
  <si>
    <t>My notification preferences per type/channel.</t>
  </si>
  <si>
    <t>DB read: notification_preferences</t>
  </si>
  <si>
    <t>NotificationService.getMyPreferences</t>
  </si>
  <si>
    <t>/customer/notifications</t>
  </si>
  <si>
    <t>EP-092</t>
  </si>
  <si>
    <t>NotificationPreferenceHandler.upsert()</t>
  </si>
  <si>
    <t>Create/update a notification preference.</t>
  </si>
  <si>
    <t>DB: notification_preferences</t>
  </si>
  <si>
    <t>NotificationService.upsertPreference</t>
  </si>
  <si>
    <t>EP-093</t>
  </si>
  <si>
    <t>/api/notifications/{notificationId}/delivery-attempts</t>
  </si>
  <si>
    <t>DeliveryAttemptHandler.getByNotification()</t>
  </si>
  <si>
    <t>DeliveryAttemptService.getByNotificationId()</t>
  </si>
  <si>
    <t>Delivery attempts for a notification.</t>
  </si>
  <si>
    <t>DB read: delivery_attempts</t>
  </si>
  <si>
    <t>NotificationService.getDeliveryAttempts</t>
  </si>
  <si>
    <t>EP-094</t>
  </si>
  <si>
    <t>/api/notifications/admin/templates</t>
  </si>
  <si>
    <t>NotificationTemplateHandler.all()</t>
  </si>
  <si>
    <t>NotificationTemplateService.all()</t>
  </si>
  <si>
    <t>List notification templates.</t>
  </si>
  <si>
    <t>DB read: notification_templates</t>
  </si>
  <si>
    <t>NotificationService.getTemplates</t>
  </si>
  <si>
    <t>EP-095</t>
  </si>
  <si>
    <t>NotificationTemplateHandler.create()</t>
  </si>
  <si>
    <t>Create a notification template.</t>
  </si>
  <si>
    <t>DB: notification_templates</t>
  </si>
  <si>
    <t>NotificationService.createTemplate</t>
  </si>
  <si>
    <t>EP-096</t>
  </si>
  <si>
    <t>/api/notifications/admin/templates/defaults</t>
  </si>
  <si>
    <t>NotificationTemplateHandler.defaults()</t>
  </si>
  <si>
    <t>NotificationTemplateService.defaults()</t>
  </si>
  <si>
    <t>Built-in default templates per notification type.</t>
  </si>
  <si>
    <t>DB read: default_templates</t>
  </si>
  <si>
    <t>EP-097</t>
  </si>
  <si>
    <t>/api/notifications/admin/templates/{templateId}</t>
  </si>
  <si>
    <t>NotificationTemplateHandler.get()</t>
  </si>
  <si>
    <t>NotificationTemplateService.get()</t>
  </si>
  <si>
    <t>Get a template.</t>
  </si>
  <si>
    <t>NotificationService.getTemplateById</t>
  </si>
  <si>
    <t>EP-098</t>
  </si>
  <si>
    <t>NotificationTemplateHandler.update()</t>
  </si>
  <si>
    <t>NotificationTemplateService.update()</t>
  </si>
  <si>
    <t>Update a template.</t>
  </si>
  <si>
    <t>DB</t>
  </si>
  <si>
    <t>NotificationService.updateTemplate</t>
  </si>
  <si>
    <t>EP-099</t>
  </si>
  <si>
    <t>/api/notifications/admin/templates/{templateId}/deactivate</t>
  </si>
  <si>
    <t>NotificationTemplateHandler.deactivate()</t>
  </si>
  <si>
    <t>NotificationTemplateService.deactivate()</t>
  </si>
  <si>
    <t>Deactivate a template.</t>
  </si>
  <si>
    <t>NotificationService.deactivateTemplate</t>
  </si>
  <si>
    <t>EP-100</t>
  </si>
  <si>
    <t>/api/notifications/admin/templates/{templateId}/activate</t>
  </si>
  <si>
    <t>NotificationTemplateHandler.activate()</t>
  </si>
  <si>
    <t>NotificationTemplateService.activate()</t>
  </si>
  <si>
    <t>Activate a template.</t>
  </si>
  <si>
    <t>EP-101</t>
  </si>
  <si>
    <t>/api/notifications/admin/all</t>
  </si>
  <si>
    <t>NotificationHandler.all()</t>
  </si>
  <si>
    <t>NotificationService.all()</t>
  </si>
  <si>
    <t>All notifications (paged, filter by type).</t>
  </si>
  <si>
    <t>NotificationService.getAllNotifications</t>
  </si>
  <si>
    <t>EP-102</t>
  </si>
  <si>
    <t>/api/notifications/admin/{notificationId}/read</t>
  </si>
  <si>
    <t>NotificationHandler.adminRead()</t>
  </si>
  <si>
    <t>NotificationService.adminMarkRead()</t>
  </si>
  <si>
    <t>Mark any notification read.</t>
  </si>
  <si>
    <t>NotificationService.adminMarkAsRead</t>
  </si>
  <si>
    <t>EP-103</t>
  </si>
  <si>
    <t>/api/notifications/admin/{notificationId}</t>
  </si>
  <si>
    <t>NotificationHandler.adminDelete()</t>
  </si>
  <si>
    <t>NotificationService.adminDelete()</t>
  </si>
  <si>
    <t>Delete any notification.</t>
  </si>
  <si>
    <t>NotificationService.adminDelete</t>
  </si>
  <si>
    <t>EP-104</t>
  </si>
  <si>
    <t>/api/notifications/admin/failed</t>
  </si>
  <si>
    <t>NotificationHandler.failed()</t>
  </si>
  <si>
    <t>NotificationService.failed()</t>
  </si>
  <si>
    <t>Notifications whose delivery FAILED.</t>
  </si>
  <si>
    <t>NotificationService.getFailedNotifications</t>
  </si>
  <si>
    <t>EP-105</t>
  </si>
  <si>
    <t>/api/notifications/admin/audit</t>
  </si>
  <si>
    <t>AuditEventHandler.all()</t>
  </si>
  <si>
    <t>AuditEventService.all()</t>
  </si>
  <si>
    <t>Full audit log (filter by actor / role).</t>
  </si>
  <si>
    <t>NotificationService.getAuditEvents</t>
  </si>
  <si>
    <t>EP-106</t>
  </si>
  <si>
    <t>/api/notifications/admin/batch</t>
  </si>
  <si>
    <t>NotificationHandler.batch()</t>
  </si>
  <si>
    <t>NotificationService.batch()</t>
  </si>
  <si>
    <t>Create many notifications in one call.</t>
  </si>
  <si>
    <t>NotificationService.sendBatch</t>
  </si>
  <si>
    <t>EP-107</t>
  </si>
  <si>
    <t>InternalPolicyRouter</t>
  </si>
  <si>
    <t>/internal/policies/active-for-trigger</t>
  </si>
  <si>
    <t>Routed by gateway (product-policy-service-route) - JWT required; normally called service-to-service</t>
  </si>
  <si>
    <t>InternalPolicyHandler.getEligiblePolicies()</t>
  </si>
  <si>
    <t>ProductService.getEligiblePoliciesForEvent()</t>
  </si>
  <si>
    <t>ACTIVE policies of a product in a zone whose coverage period overlaps the event window, each with its captured trigger snapshot.</t>
  </si>
  <si>
    <t>DB read: policies, policy_trigger_snapshots</t>
  </si>
  <si>
    <t>EP-108</t>
  </si>
  <si>
    <t>/internal/policies/zone/{zoneId}/has-active</t>
  </si>
  <si>
    <t>InternalPolicyHandler.hasActivePoliciesForZone()</t>
  </si>
  <si>
    <t>ProductService.hasActivePoliciesForZone()</t>
  </si>
  <si>
    <t>Whether any ACTIVE policy exists in a zone (Trigger-Svc blocks archiving such zones).</t>
  </si>
  <si>
    <t>EP-109</t>
  </si>
  <si>
    <t>PolicyLifecycleRouter</t>
  </si>
  <si>
    <t>/api/policies/{policyId}/renew</t>
  </si>
  <si>
    <t>PolicyLifecycleHandler.renew()</t>
  </si>
  <si>
    <t>PolicyService.renewPolicy()</t>
  </si>
  <si>
    <t>Renew an ACTIVE/EXPIRED policy: creates a new PENDING application linked via renewedFromPolicyId.</t>
  </si>
  <si>
    <t>Same chain as POST /api/policies (pricing via Financial-Svc) | Notification-Svc POST /internal/audit-events (POLICY_RENEWAL_APPLIED)</t>
  </si>
  <si>
    <t>PolicyService.renewPolicy</t>
  </si>
  <si>
    <t>/customer/policies/:policyId</t>
  </si>
  <si>
    <t>EP-110</t>
  </si>
  <si>
    <t>/api/policies/{policyId}/auto-renew</t>
  </si>
  <si>
    <t>PolicyLifecycleHandler.autoRenew()</t>
  </si>
  <si>
    <t>PolicyService.setAutoRenew()</t>
  </si>
  <si>
    <t>Turn auto-renew on/off. Daily scheduler creates renewals 14 days before end date.</t>
  </si>
  <si>
    <t>DB: policies | Notification-Svc POST /internal/audit-events</t>
  </si>
  <si>
    <t>PolicyService.setAutoRenew</t>
  </si>
  <si>
    <t>EP-111</t>
  </si>
  <si>
    <t>/api/policies/{policyId}/certificate</t>
  </si>
  <si>
    <t>PolicyLifecycleHandler.customerCertificate()</t>
  </si>
  <si>
    <t>PolicyCertificateService.forCustomer()</t>
  </si>
  <si>
    <t>Download my policy certificate (PDF).</t>
  </si>
  <si>
    <t>Trigger-Svc GET /internal/triggers/zones/{zoneId} (zone name on certificate)</t>
  </si>
  <si>
    <t>PolicyService.downloadCertificate</t>
  </si>
  <si>
    <t>EP-112</t>
  </si>
  <si>
    <t>/api/policies/admin/{policyId}/certificate</t>
  </si>
  <si>
    <t>ADMIN, UNDERWRITER</t>
  </si>
  <si>
    <t>PolicyLifecycleHandler.staffCertificate()</t>
  </si>
  <si>
    <t>PolicyCertificateService.forStaff()</t>
  </si>
  <si>
    <t>Download any policy certificate (PDF).</t>
  </si>
  <si>
    <t>Trigger-Svc GET /internal/triggers/zones/{zoneId}</t>
  </si>
  <si>
    <t>PolicyService.downloadAdminCertificate</t>
  </si>
  <si>
    <t>/admin/policies/:policyId</t>
  </si>
  <si>
    <t>EP-113</t>
  </si>
  <si>
    <t>PolicyRouter</t>
  </si>
  <si>
    <t>/internal/policies/{policyId}</t>
  </si>
  <si>
    <t>PolicyHandler.getInternalPolicy()</t>
  </si>
  <si>
    <t>Full policy + trigger snapshot for other services (claims validation, payments, eligibility, receipts).</t>
  </si>
  <si>
    <t>EP-114</t>
  </si>
  <si>
    <t>/api/policies/zones/active</t>
  </si>
  <si>
    <t>PolicyHandler.getActiveZones()</t>
  </si>
  <si>
    <t>PolicyService.getActiveZones()</t>
  </si>
  <si>
    <t>Active location zones (proxied from Trigger-Svc) for the policy application form.</t>
  </si>
  <si>
    <t>Trigger-Svc GET /internal/triggers/zones/active</t>
  </si>
  <si>
    <t>EP-115</t>
  </si>
  <si>
    <t>/api/policies/admin/all</t>
  </si>
  <si>
    <t>PolicyHandler.getAllPolicies()</t>
  </si>
  <si>
    <t>PolicyService.getAllPolicies()</t>
  </si>
  <si>
    <t>All policies, filter by status / customerId.</t>
  </si>
  <si>
    <t>PolicyService.getAllPolicies</t>
  </si>
  <si>
    <t>/admin/dashboard, /admin/policies, /admin/users/:userId, /admin/zone-map, /customer/zone-map, /underwriter/dashboard</t>
  </si>
  <si>
    <t>EP-116</t>
  </si>
  <si>
    <t>/api/policies/admin/{policyId}</t>
  </si>
  <si>
    <t>PolicyHandler.getPolicy()</t>
  </si>
  <si>
    <t>Any policy by id (staff view).</t>
  </si>
  <si>
    <t>PolicyService.getPolicy</t>
  </si>
  <si>
    <t>/admin/claims/:claimId, /admin/policies/:policyId, /underwriter/policies/:policyId</t>
  </si>
  <si>
    <t>EP-117</t>
  </si>
  <si>
    <t>/api/policies/review/pending</t>
  </si>
  <si>
    <t>UNDERWRITER, ADMIN</t>
  </si>
  <si>
    <t>PolicyHandler.getPendingPolicies()</t>
  </si>
  <si>
    <t>PolicyService.getPendingPolicies()</t>
  </si>
  <si>
    <t>Underwriting queue: all PENDING policy applications.</t>
  </si>
  <si>
    <t>PolicyService.getPendingPolicies</t>
  </si>
  <si>
    <t>/underwriter/dashboard, /underwriter/policies</t>
  </si>
  <si>
    <t>EP-118</t>
  </si>
  <si>
    <t>/api/policies/review/history</t>
  </si>
  <si>
    <t>PolicyHandler.getReviewHistory()</t>
  </si>
  <si>
    <t>PolicyService.getReviewHistory()</t>
  </si>
  <si>
    <t>Approve/reject decisions made by the calling underwriter.</t>
  </si>
  <si>
    <t>DB read: policy_status_history, policies</t>
  </si>
  <si>
    <t>PolicyService.getReviewHistory</t>
  </si>
  <si>
    <t>/underwriter/history</t>
  </si>
  <si>
    <t>EP-119</t>
  </si>
  <si>
    <t>/api/policies/me</t>
  </si>
  <si>
    <t>PolicyHandler.getMyPolicies()</t>
  </si>
  <si>
    <t>PolicyService.getMyPolicies()</t>
  </si>
  <si>
    <t>My policies (optional status filter).</t>
  </si>
  <si>
    <t>PolicyService.getMyPolicies</t>
  </si>
  <si>
    <t>/admin/zone-map, /customer/claims/new, /customer/dashboard, /customer/payments, /customer/policies, /customer/zone-map</t>
  </si>
  <si>
    <t>EP-120</t>
  </si>
  <si>
    <t>/api/policies/{policyId}</t>
  </si>
  <si>
    <t>PolicyHandler.getMyPolicy()</t>
  </si>
  <si>
    <t>PolicyService.getMyPolicy()</t>
  </si>
  <si>
    <t>One of my policies.</t>
  </si>
  <si>
    <t>PolicyService.getMyPolicy</t>
  </si>
  <si>
    <t>/customer/policies, /customer/policies/:policyId</t>
  </si>
  <si>
    <t>EP-121</t>
  </si>
  <si>
    <t>/api/policies</t>
  </si>
  <si>
    <t>PolicyHandler.createPolicy()</t>
  </si>
  <si>
    <t>PolicyService.createPolicy()</t>
  </si>
  <si>
    <t>Apply for a policy on an ACTIVE product. Validates sum insured / term limits, no duplicate PENDING application. Premium = accepted quote premium (if quoteId) else Financial pricing rule else flat temporary rate. Captures a trigger snapshot and consumes the quote.</t>
  </si>
  <si>
    <t>Financial-Svc POST /internal/financial/quotes/{quoteId}/validate (if quote) | Financial-Svc POST /internal/financial/pricing/calculate (no quote) | Financial-Svc PUT /internal/financial/quotes/{quoteId}/consume | DB: policies, policy_trigger_snapshots, policy_status_history | Notification-Svc POST /internal/notifications (POLICY_SUBMITTED to customer, pending-review to underwriters) | Notification-Svc POST /internal/audit-events (POLICY_APPLIED)</t>
  </si>
  <si>
    <t>PolicyService.createPolicy</t>
  </si>
  <si>
    <t>EP-122</t>
  </si>
  <si>
    <t>/api/policies/custom</t>
  </si>
  <si>
    <t>PolicyHandler.createCustomPolicy()</t>
  </si>
  <si>
    <t>PolicyService.createCustomPolicy()</t>
  </si>
  <si>
    <t>Customer-defined parametric cover: creates a customer-defined product (code CUSTOM-&lt;customerId&gt;-XXXX) with the customer's own trigger, syncs its trigger definition, then applies for a policy on it.</t>
  </si>
  <si>
    <t>Trigger-Svc PUT /internal/triggers/products/{productId}/definition | then same chain as POST /api/policies</t>
  </si>
  <si>
    <t>PolicyService.createCustomPolicy</t>
  </si>
  <si>
    <t>EP-123</t>
  </si>
  <si>
    <t>/api/policies/{policyId}/cancel</t>
  </si>
  <si>
    <t>PolicyHandler.cancelPolicy()</t>
  </si>
  <si>
    <t>PolicyService.cancelPolicy()</t>
  </si>
  <si>
    <t>Cancel my PENDING application (PENDING -&gt; CANCELLED).</t>
  </si>
  <si>
    <t>DB: policies, policy_status_history | Notification-Svc POST /internal/notifications (POLICY_CANCELLED) | Notification-Svc POST /internal/audit-events</t>
  </si>
  <si>
    <t>PolicyService.cancelPolicy</t>
  </si>
  <si>
    <t>EP-124</t>
  </si>
  <si>
    <t>/api/policies/{policyId}/approve</t>
  </si>
  <si>
    <t>PolicyHandler.approvePolicy()</t>
  </si>
  <si>
    <t>PolicyService.approvePolicy()</t>
  </si>
  <si>
    <t>Approve a PENDING application: status ACTIVE, start date (today or day after renewed policy ends), end date = start + term.</t>
  </si>
  <si>
    <t>DB: policies, policy_status_history | Notification-Svc POST /internal/notifications (POLICY_APPROVED) | Notification-Svc POST /internal/audit-events (POLICY_APPROVED)</t>
  </si>
  <si>
    <t>PolicyService.approvePolicy</t>
  </si>
  <si>
    <t>/underwriter/policies/:policyId</t>
  </si>
  <si>
    <t>EP-125</t>
  </si>
  <si>
    <t>/api/policies/{policyId}/reject</t>
  </si>
  <si>
    <t>PolicyHandler.rejectPolicy()</t>
  </si>
  <si>
    <t>PolicyService.rejectPolicy()</t>
  </si>
  <si>
    <t>Reject a PENDING application with a mandatory reason (&lt;=500 chars).</t>
  </si>
  <si>
    <t>DB: policies, policy_status_history | Notification-Svc POST /internal/notifications (POLICY_REJECTED) | Notification-Svc POST /internal/audit-events</t>
  </si>
  <si>
    <t>PolicyService.rejectPolicy</t>
  </si>
  <si>
    <t>EP-126</t>
  </si>
  <si>
    <t>/api/policies/{policyId}/history</t>
  </si>
  <si>
    <t>CUSTOMER, UNDERWRITER, ADMIN</t>
  </si>
  <si>
    <t>PolicyHandler.getPolicyHistory()</t>
  </si>
  <si>
    <t>PolicyService.getPolicyHistory()</t>
  </si>
  <si>
    <t>Status history of a policy.</t>
  </si>
  <si>
    <t>DB read: policy_status_history</t>
  </si>
  <si>
    <t>PolicyService.getPolicyHistory</t>
  </si>
  <si>
    <t>EP-127</t>
  </si>
  <si>
    <t>/api/policies/{policyId}/snapshot</t>
  </si>
  <si>
    <t>PolicyHandler.getPolicySnapshot()</t>
  </si>
  <si>
    <t>Trigger snapshot captured when the policy was issued (threshold, operator, window...).</t>
  </si>
  <si>
    <t>DB read: policy_trigger_snapshots</t>
  </si>
  <si>
    <t>PolicyService.getPolicySnapshot</t>
  </si>
  <si>
    <t>/admin/policies/:policyId, /customer/claims/new, /customer/policies/:policyId, /underwriter/policies/:policyId</t>
  </si>
  <si>
    <t>EP-128</t>
  </si>
  <si>
    <t>ProductRouter</t>
  </si>
  <si>
    <t>/api/products</t>
  </si>
  <si>
    <t>ProductHandler.getProducts()</t>
  </si>
  <si>
    <t>ProductService.getActiveProducts()</t>
  </si>
  <si>
    <t>List ACTIVE insurance products (public catalogue).</t>
  </si>
  <si>
    <t>DB read: products, coverages</t>
  </si>
  <si>
    <t>ProductService.getActiveProducts</t>
  </si>
  <si>
    <t>/, /admin/zone-map, /customer/policies/new, /customer/quotes, /customer/zone-map, /products</t>
  </si>
  <si>
    <t>EP-129</t>
  </si>
  <si>
    <t>/api/products/category/{category}</t>
  </si>
  <si>
    <t>ProductHandler.getByCategory()</t>
  </si>
  <si>
    <t>ProductService.getProductsByCategory()</t>
  </si>
  <si>
    <t>List ACTIVE products in a category (WEATHER, FLOOD, AGRICULTURE, ...).</t>
  </si>
  <si>
    <t>DB read: products</t>
  </si>
  <si>
    <t>ProductService.getProductsByCategory</t>
  </si>
  <si>
    <t>/products</t>
  </si>
  <si>
    <t>EP-130</t>
  </si>
  <si>
    <t>/api/products/measurement-status</t>
  </si>
  <si>
    <t>PUBLIC (gateway requires JWT)</t>
  </si>
  <si>
    <t>ProductHandler.getPublicMeasurementStatus()</t>
  </si>
  <si>
    <t>ProductService.getPublicMeasurementStatus()</t>
  </si>
  <si>
    <t>Public view of current measurement vs threshold per product/zone.</t>
  </si>
  <si>
    <t>Trigger-Svc GET /internal/triggers/measurements/current</t>
  </si>
  <si>
    <t>ProductService.getMeasurementStatus</t>
  </si>
  <si>
    <t>/customer/dashboard</t>
  </si>
  <si>
    <t>EP-131</t>
  </si>
  <si>
    <t>/api/products/{productId}</t>
  </si>
  <si>
    <t>ProductHandler.getProduct()</t>
  </si>
  <si>
    <t>Get one ACTIVE product with coverages and parametric trigger description.</t>
  </si>
  <si>
    <t>ProductService.getProduct</t>
  </si>
  <si>
    <t>/claims-officer/claims/:claimId, /products/:productId, /underwriter/policies/:policyId</t>
  </si>
  <si>
    <t>EP-132</t>
  </si>
  <si>
    <t>ProductHandler.createProduct()</t>
  </si>
  <si>
    <t>ProductService.createProduct()</t>
  </si>
  <si>
    <t>Create a product in DRAFT with limits (sum insured, term), coverages and parametric trigger config (peril, measurement type/unit, threshold, operator, aggregation, window, min observations).</t>
  </si>
  <si>
    <t>DB: products, coverages | Notification-Svc POST /internal/notifications (PRODUCT_CREATED) | Notification-Svc POST /internal/audit-events (PRODUCT_CREATED)</t>
  </si>
  <si>
    <t>ProductService.createProduct</t>
  </si>
  <si>
    <t>/admin/products/new</t>
  </si>
  <si>
    <t>EP-133</t>
  </si>
  <si>
    <t>ProductHandler.updateProduct()</t>
  </si>
  <si>
    <t>ProductService.updateProduct()</t>
  </si>
  <si>
    <t>Update product details and trigger configuration (trigger must stay complete). If the trigger changed, a threshold-history row is recorded.</t>
  </si>
  <si>
    <t>DB: products, coverages, product_threshold_history | Notification-Svc POST /internal/notifications (PRODUCT_UPDATED) | Notification-Svc POST /internal/audit-events</t>
  </si>
  <si>
    <t>ProductService.updateProduct</t>
  </si>
  <si>
    <t>/admin/products/:productId</t>
  </si>
  <si>
    <t>EP-134</t>
  </si>
  <si>
    <t>/api/products/{productId}/status</t>
  </si>
  <si>
    <t>ProductHandler.updateStatus()</t>
  </si>
  <si>
    <t>ProductService.updateStatus()</t>
  </si>
  <si>
    <t>Change product status (DRAFT/ACTIVE/INACTIVE/ARCHIVED). ACTIVE requires a complete trigger; ARCHIVED requires no open policies.</t>
  </si>
  <si>
    <t>DB: products | Notification-Svc POST /internal/audit-events (PRODUCT_STATUS_CHANGED)</t>
  </si>
  <si>
    <t>ProductService.updateProductStatus</t>
  </si>
  <si>
    <t>/admin/products</t>
  </si>
  <si>
    <t>EP-135</t>
  </si>
  <si>
    <t>ProductHandler.deleteProduct()</t>
  </si>
  <si>
    <t>Archive (soft-delete) a product when it has no open policies.</t>
  </si>
  <si>
    <t>DB: products | Notification-Svc POST /internal/audit-events</t>
  </si>
  <si>
    <t>ProductService.deleteProduct</t>
  </si>
  <si>
    <t>EP-136</t>
  </si>
  <si>
    <t>/api/products/admin/all</t>
  </si>
  <si>
    <t>ProductHandler.getAllProducts()</t>
  </si>
  <si>
    <t>ProductService.getAllProducts()</t>
  </si>
  <si>
    <t>List all products in every status (admin catalogue).</t>
  </si>
  <si>
    <t>ProductService.getAdminProducts</t>
  </si>
  <si>
    <t>/admin/current-measurements, /admin/dashboard, /admin/pricing-rules, /admin/product-thresholds, /admin/products, /admin/zone-map, /customer/zone-map</t>
  </si>
  <si>
    <t>EP-137</t>
  </si>
  <si>
    <t>/api/products/admin/measurement-status</t>
  </si>
  <si>
    <t>ProductHandler.getMeasurementStatus()</t>
  </si>
  <si>
    <t>ProductService.getMeasurementStatus()</t>
  </si>
  <si>
    <t>Measurement console: every product x zone with current value, threshold, operator and whether it is breached.</t>
  </si>
  <si>
    <t>ProductService.getAdminMeasurementStatus</t>
  </si>
  <si>
    <t>/admin/current-measurements</t>
  </si>
  <si>
    <t>EP-138</t>
  </si>
  <si>
    <t>/api/products/admin/{productId}</t>
  </si>
  <si>
    <t>ProductHandler.getAdminProduct()</t>
  </si>
  <si>
    <t>Get any product (any status) with trigger sync status.</t>
  </si>
  <si>
    <t>ProductService.getAdminProduct</t>
  </si>
  <si>
    <t>/admin/products/:productId, /admin/products/:productId/threshold</t>
  </si>
  <si>
    <t>EP-139</t>
  </si>
  <si>
    <t>/api/products/admin/{productId}/threshold-history</t>
  </si>
  <si>
    <t>ProductHandler.getThresholdHistory()</t>
  </si>
  <si>
    <t>History of trigger threshold changes for a product (old/new values, reason, who, when).</t>
  </si>
  <si>
    <t>DB read: product_threshold_history</t>
  </si>
  <si>
    <t>ProductService.getThresholdHistory</t>
  </si>
  <si>
    <t>/admin/products/:productId/threshold</t>
  </si>
  <si>
    <t>EP-140</t>
  </si>
  <si>
    <t>/api/products/admin/{productId}/threshold</t>
  </si>
  <si>
    <t>ProductHandler.updateThreshold()</t>
  </si>
  <si>
    <t>ProductService.updateThreshold()</t>
  </si>
  <si>
    <t>Change the product's trigger threshold / operator / window. Records history. Existing policies keep their captured trigger snapshot. (No Trigger-Svc call: Trigger-Svc reads product config live via /internal/products/{id}.)</t>
  </si>
  <si>
    <t>DB: products, product_threshold_history | Notification-Svc POST /internal/audit-events (PRODUCT_THRESHOLD_UPDATED)</t>
  </si>
  <si>
    <t>ProductService.updateThreshold</t>
  </si>
  <si>
    <t>EP-141</t>
  </si>
  <si>
    <t>/internal/products</t>
  </si>
  <si>
    <t>ProductHandler.getInternalProducts()</t>
  </si>
  <si>
    <t>ProductService.getAllInternalProducts()</t>
  </si>
  <si>
    <t>All products with trigger config (used by Financial-Svc default pricing-rule provisioner).</t>
  </si>
  <si>
    <t>EP-142</t>
  </si>
  <si>
    <t>/internal/products/code/{productCode}</t>
  </si>
  <si>
    <t>ProductHandler.getInternalProductByCode()</t>
  </si>
  <si>
    <t>ProductService.getInternalProductByCode()</t>
  </si>
  <si>
    <t>Product lookup by product code.</t>
  </si>
  <si>
    <t>EP-143</t>
  </si>
  <si>
    <t>/internal/products/{productId}</t>
  </si>
  <si>
    <t>ProductHandler.getInternalProduct()</t>
  </si>
  <si>
    <t>Product config lookup (limits, status, trigger config). Called by Financial-Svc (quotes, pricing rules) and Trigger-Svc (measurement processing).</t>
  </si>
  <si>
    <t>EP-144</t>
  </si>
  <si>
    <t>/internal/products/verified-event</t>
  </si>
  <si>
    <t>ProductHandler.processVerifiedEvent()</t>
  </si>
  <si>
    <t>Hook called by Trigger-Svc when an event is VERIFIED: for each ACTIVE policy of the product, asks Trigger-Svc for eligibility and creates an automatic claim in Claims-Svc for eligible policies.</t>
  </si>
  <si>
    <t>Trigger-Svc GET /internal/triggers/policy/{policyId}/eligibility (per policy) -&gt; Claims-Svc POST /internal/claims</t>
  </si>
  <si>
    <t>EP-145</t>
  </si>
  <si>
    <t>DemoObservationRouter</t>
  </si>
  <si>
    <t>/api/triggers/demo/observations</t>
  </si>
  <si>
    <t>DemoObservationHandler.recordAndEvaluate()</t>
  </si>
  <si>
    <t>DemoObservationService.recordAndEvaluate()</t>
  </si>
  <si>
    <t>Demo console: record an observation for an ACTIVE trigger definition, optionally validate immediately, evaluate, create a DETECTED event, auto-verify it, find eligible policies and create automatic claims.</t>
  </si>
  <si>
    <t>DB: observations, trigger_evaluations, trigger_events | Product-Svc GET /internal/policies/active-for-trigger | Claims-Svc POST /internal/claims/from-trigger-event | Notification-Svc POST /internal/notifications (AUTOMATIC_CLAIM_CREATED per customer)</t>
  </si>
  <si>
    <t>EP-146</t>
  </si>
  <si>
    <t>DemoSimulationRouter</t>
  </si>
  <si>
    <t>/api/triggers/demo/simulate</t>
  </si>
  <si>
    <t>DemoSimulationHandler.simulateThresholdCrossing()</t>
  </si>
  <si>
    <t>DemoSimulationService.simulateThresholdCrossing()</t>
  </si>
  <si>
    <t>Generate observations that cross a product's threshold for every zone (demo helper) and evaluate them.</t>
  </si>
  <si>
    <t>DB: observations, trigger_evaluations, trigger_events</t>
  </si>
  <si>
    <t>EP-147</t>
  </si>
  <si>
    <t>LocationZoneRouter</t>
  </si>
  <si>
    <t>/api/triggers/zones</t>
  </si>
  <si>
    <t>LocationZoneHandler.getAll()</t>
  </si>
  <si>
    <t>LocationZoneService.getAll()</t>
  </si>
  <si>
    <t>All location zones (filter by state).</t>
  </si>
  <si>
    <t>DB read: location_zones</t>
  </si>
  <si>
    <t>ZoneService.getAllZones</t>
  </si>
  <si>
    <t>/admin/claims, /admin/policies, /admin/pricing-rules, /admin/users/:userId, /admin/zone-map, /admin/zones, /customer/zone-map</t>
  </si>
  <si>
    <t>EP-148</t>
  </si>
  <si>
    <t>/api/triggers/zones/active</t>
  </si>
  <si>
    <t>AUTHENTICATED (any role)</t>
  </si>
  <si>
    <t>LocationZoneHandler.getActive()</t>
  </si>
  <si>
    <t>LocationZoneService.getActive()</t>
  </si>
  <si>
    <t>Active zones (used by customer forms and maps).</t>
  </si>
  <si>
    <t>ZoneService.getActiveZones</t>
  </si>
  <si>
    <t>/admin/current-measurements, /admin/zone-map, /claims-officer/claims, /customer/claims, /customer/claims/new, /customer/policies, /customer/policies/new, /customer/quotes, /customer/zone-map, /underwriter/policies</t>
  </si>
  <si>
    <t>EP-149</t>
  </si>
  <si>
    <t>/api/triggers/zones/{zoneId}</t>
  </si>
  <si>
    <t>LocationZoneHandler.getById()</t>
  </si>
  <si>
    <t>One zone.</t>
  </si>
  <si>
    <t>ZoneService.getZone</t>
  </si>
  <si>
    <t>/admin/claims/:claimId, /admin/policies/:policyId, /claims-officer/claims/:claimId, /customer/claims/:claimId, /customer/policies/:policyId, /underwriter/policies/:policyId</t>
  </si>
  <si>
    <t>EP-150</t>
  </si>
  <si>
    <t>LocationZoneHandler.create()</t>
  </si>
  <si>
    <t>LocationZoneService.create()</t>
  </si>
  <si>
    <t>Create a location zone (code, name, state, district, lat/long, radius).</t>
  </si>
  <si>
    <t>DB: location_zones | Notification-Svc POST /internal/audit-events</t>
  </si>
  <si>
    <t>ZoneService.createZone</t>
  </si>
  <si>
    <t>/admin/zones</t>
  </si>
  <si>
    <t>EP-151</t>
  </si>
  <si>
    <t>LocationZoneHandler.update()</t>
  </si>
  <si>
    <t>LocationZoneService.update()</t>
  </si>
  <si>
    <t>Update a zone.</t>
  </si>
  <si>
    <t>ZoneService.updateZone</t>
  </si>
  <si>
    <t>EP-152</t>
  </si>
  <si>
    <t>/api/triggers/zones/{zoneId}/status</t>
  </si>
  <si>
    <t>LocationZoneHandler.updateStatus()</t>
  </si>
  <si>
    <t>LocationZoneService.updateStatus()</t>
  </si>
  <si>
    <t>Change zone status (ACTIVE / INACTIVE / ARCHIVED).</t>
  </si>
  <si>
    <t>DB: location_zones | Notification-Svc POST /internal/audit-events (ZONE_STATUS_CHANGED)</t>
  </si>
  <si>
    <t>ZoneService.updateZoneStatus</t>
  </si>
  <si>
    <t>EP-153</t>
  </si>
  <si>
    <t>LocationZoneHandler.archive()</t>
  </si>
  <si>
    <t>LocationZoneService.archive()</t>
  </si>
  <si>
    <t>Archive a zone (blocked while ACTIVE policies exist in it).</t>
  </si>
  <si>
    <t>Product-Svc GET /internal/policies/zone/{zoneId}/has-active | DB | Notification-Svc POST /internal/audit-events</t>
  </si>
  <si>
    <t>ZoneService.archiveZone</t>
  </si>
  <si>
    <t>EP-154</t>
  </si>
  <si>
    <t>/internal/triggers/zones/{zoneId}</t>
  </si>
  <si>
    <t>LocationZoneHandler.getInternalById()</t>
  </si>
  <si>
    <t>LocationZoneService.getInternalById()</t>
  </si>
  <si>
    <t>Zone details (Financial-Svc validation, Product-Svc certificate).</t>
  </si>
  <si>
    <t>EP-155</t>
  </si>
  <si>
    <t>/internal/triggers/zones/active</t>
  </si>
  <si>
    <t>LocationZoneHandler.getInternalActive()</t>
  </si>
  <si>
    <t>LocationZoneService.getActiveInternal()</t>
  </si>
  <si>
    <t>Active zones (Product-Svc).</t>
  </si>
  <si>
    <t>EP-156</t>
  </si>
  <si>
    <t>MeasurementRouter</t>
  </si>
  <si>
    <t>/api/triggers/measurements/types</t>
  </si>
  <si>
    <t>MeasurementHandler.getMeasurementTypes()</t>
  </si>
  <si>
    <t>MeasurementService.getMeasurementTypes()</t>
  </si>
  <si>
    <t>Supported measurement types with units.</t>
  </si>
  <si>
    <t>static</t>
  </si>
  <si>
    <t>EP-157</t>
  </si>
  <si>
    <t>/api/triggers/measurements/current</t>
  </si>
  <si>
    <t>MeasurementHandler.getCurrentMeasurements()</t>
  </si>
  <si>
    <t>MeasurementService.getCurrentMeasurements()</t>
  </si>
  <si>
    <t>Latest VALIDATED observation per zone x measurement type.</t>
  </si>
  <si>
    <t>DB read: observations</t>
  </si>
  <si>
    <t>EP-158</t>
  </si>
  <si>
    <t>/api/triggers/current-measurements</t>
  </si>
  <si>
    <t>MeasurementHandler.processCurrentMeasurement()</t>
  </si>
  <si>
    <t>MeasurementService.processCurrentMeasurement()</t>
  </si>
  <si>
    <t>Measurement console: record the current value for a product in a zone (idempotency key). Compares against every ACTIVE policy's snapshot threshold; if any match, creates a VERIFIED trigger event and bulk-creates automatic claims.</t>
  </si>
  <si>
    <t>Product-Svc GET /internal/products/{id} | Product-Svc GET /internal/policies/active-for-trigger | DB: current_measurements, trigger_events, idempotency_records | Claims-Svc POST /internal/claims/from-trigger-event | Notification-Svc POST /internal/audit-events (MEASUREMENT_RECORDED)</t>
  </si>
  <si>
    <t>CurrentMeasurementService.process</t>
  </si>
  <si>
    <t>EP-159</t>
  </si>
  <si>
    <t>ADMIN, UNDERWRITER, CLAIMS_OFFICER, CUSTOMER</t>
  </si>
  <si>
    <t>MeasurementHandler.getCurrentMeasurementSnapshots()</t>
  </si>
  <si>
    <t>MeasurementService.getCurrentMeasurementSnapshots()</t>
  </si>
  <si>
    <t>Current measurement snapshots per product/zone.</t>
  </si>
  <si>
    <t>DB read: current_measurements</t>
  </si>
  <si>
    <t>CurrentMeasurementService.getCurrentMeasurements</t>
  </si>
  <si>
    <t>EP-160</t>
  </si>
  <si>
    <t>/internal/triggers/measurements/current</t>
  </si>
  <si>
    <t>MeasurementHandler.getCurrentMeasurementsInternal()</t>
  </si>
  <si>
    <t>Current measurements (Product-Svc measurement-status views).</t>
  </si>
  <si>
    <t>EP-161</t>
  </si>
  <si>
    <t>MonitorRunRouter</t>
  </si>
  <si>
    <t>/api/triggers/monitor-runs</t>
  </si>
  <si>
    <t>MonitorRunHandler.getAll()</t>
  </si>
  <si>
    <t>MonitorRunService.getAllRuns()</t>
  </si>
  <si>
    <t>History of monitor scan runs.</t>
  </si>
  <si>
    <t>DB read: monitor_runs</t>
  </si>
  <si>
    <t>EP-162</t>
  </si>
  <si>
    <t>/api/triggers/monitor-runs/{runId}</t>
  </si>
  <si>
    <t>MonitorRunHandler.getById()</t>
  </si>
  <si>
    <t>One monitor run.</t>
  </si>
  <si>
    <t>EP-163</t>
  </si>
  <si>
    <t>/api/triggers/monitor-runs/scan</t>
  </si>
  <si>
    <t>MonitorRunHandler.triggerScan()</t>
  </si>
  <si>
    <t>MonitorRunService.triggerManualScan()</t>
  </si>
  <si>
    <t>Run a monitor scan now (409 if one is RUNNING): evaluates every ACTIVE trigger definition and creates DETECTED events.</t>
  </si>
  <si>
    <t>DB: monitor_runs, trigger_evaluations, trigger_events</t>
  </si>
  <si>
    <t>EP-164</t>
  </si>
  <si>
    <t>ObservationRouter</t>
  </si>
  <si>
    <t>/api/triggers/observations</t>
  </si>
  <si>
    <t>ObservationHandler.getAll()</t>
  </si>
  <si>
    <t>ObservationService.getAll()</t>
  </si>
  <si>
    <t>All observations.</t>
  </si>
  <si>
    <t>EP-165</t>
  </si>
  <si>
    <t>/api/triggers/observations/zone/{zoneId}</t>
  </si>
  <si>
    <t>ObservationHandler.getByZoneId()</t>
  </si>
  <si>
    <t>Observations in a zone.</t>
  </si>
  <si>
    <t>EP-166</t>
  </si>
  <si>
    <t>/api/triggers/observations/measurement/{measurementType}</t>
  </si>
  <si>
    <t>ObservationHandler.getByMeasurementType()</t>
  </si>
  <si>
    <t>ObservationService.getByMeasurementType()</t>
  </si>
  <si>
    <t>Observations of a measurement type.</t>
  </si>
  <si>
    <t>EP-167</t>
  </si>
  <si>
    <t>/api/triggers/observations/{observationId}</t>
  </si>
  <si>
    <t>ObservationHandler.getById()</t>
  </si>
  <si>
    <t>One observation.</t>
  </si>
  <si>
    <t>EP-168</t>
  </si>
  <si>
    <t>ObservationHandler.create()</t>
  </si>
  <si>
    <t>ObservationService.create()</t>
  </si>
  <si>
    <t>Record an observation (zone, measurement type/unit, value, observedAt, source) in status RECEIVED.</t>
  </si>
  <si>
    <t>DB: observations | Notification-Svc POST /internal/audit-events</t>
  </si>
  <si>
    <t>EP-169</t>
  </si>
  <si>
    <t>ObservationValidationRouter</t>
  </si>
  <si>
    <t>/api/triggers/observations/validation/received</t>
  </si>
  <si>
    <t>ObservationValidationHandler.getReceived()</t>
  </si>
  <si>
    <t>ObservationValidationService.getReceivedObservations()</t>
  </si>
  <si>
    <t>Observations awaiting validation (RECEIVED).</t>
  </si>
  <si>
    <t>EP-170</t>
  </si>
  <si>
    <t>/api/triggers/observations/validation/{observationId}/validate</t>
  </si>
  <si>
    <t>ObservationValidationHandler.validate()</t>
  </si>
  <si>
    <t>ObservationValidationService.validateObservation()</t>
  </si>
  <si>
    <t>Validate an observation (RECEIVED -&gt; VALIDATED); only VALIDATED observations count in evaluations.</t>
  </si>
  <si>
    <t>DB: observations</t>
  </si>
  <si>
    <t>EP-171</t>
  </si>
  <si>
    <t>/api/triggers/observations/validation/{observationId}/reject</t>
  </si>
  <si>
    <t>ObservationValidationHandler.reject()</t>
  </si>
  <si>
    <t>ObservationValidationService.rejectObservation()</t>
  </si>
  <si>
    <t>Reject an observation with reason (RECEIVED -&gt; REJECTED).</t>
  </si>
  <si>
    <t>EP-172</t>
  </si>
  <si>
    <t>/api/triggers/observations/validation/validate-all</t>
  </si>
  <si>
    <t>ObservationValidationHandler.validateAll()</t>
  </si>
  <si>
    <t>ObservationValidationService.validateAllReceived()</t>
  </si>
  <si>
    <t>Validate all RECEIVED observations.</t>
  </si>
  <si>
    <t>EP-173</t>
  </si>
  <si>
    <t>PerilRouter</t>
  </si>
  <si>
    <t>/api/triggers/perils</t>
  </si>
  <si>
    <t>PerilHandler.getAll()</t>
  </si>
  <si>
    <t>PerilService.getAll()</t>
  </si>
  <si>
    <t>All perils.</t>
  </si>
  <si>
    <t>DB read: perils</t>
  </si>
  <si>
    <t>PerilService.getAllPerils</t>
  </si>
  <si>
    <t>/admin/perils</t>
  </si>
  <si>
    <t>EP-174</t>
  </si>
  <si>
    <t>/api/triggers/perils/{perilId}</t>
  </si>
  <si>
    <t>PerilHandler.getById()</t>
  </si>
  <si>
    <t>PerilService.getById()</t>
  </si>
  <si>
    <t>One peril.</t>
  </si>
  <si>
    <t>PerilService.getPeril</t>
  </si>
  <si>
    <t>EP-175</t>
  </si>
  <si>
    <t>PerilHandler.create()</t>
  </si>
  <si>
    <t>PerilService.create()</t>
  </si>
  <si>
    <t>Create a peril (code, name, type, measurement type/unit).</t>
  </si>
  <si>
    <t>DB: perils | Notification-Svc POST /internal/audit-events</t>
  </si>
  <si>
    <t>PerilService.createPeril</t>
  </si>
  <si>
    <t>EP-176</t>
  </si>
  <si>
    <t>PerilHandler.update()</t>
  </si>
  <si>
    <t>PerilService.update()</t>
  </si>
  <si>
    <t>Update a peril.</t>
  </si>
  <si>
    <t>PerilService.updatePeril</t>
  </si>
  <si>
    <t>EP-177</t>
  </si>
  <si>
    <t>/api/triggers/perils/{perilId}/status</t>
  </si>
  <si>
    <t>PerilHandler.updateStatus()</t>
  </si>
  <si>
    <t>PerilService.updateStatus()</t>
  </si>
  <si>
    <t>Change peril status.</t>
  </si>
  <si>
    <t>PerilService.updatePerilStatus</t>
  </si>
  <si>
    <t>EP-178</t>
  </si>
  <si>
    <t>PerilHandler.archive()</t>
  </si>
  <si>
    <t>PerilService.archive()</t>
  </si>
  <si>
    <t>Archive a peril.</t>
  </si>
  <si>
    <t>PerilService.archivePeril</t>
  </si>
  <si>
    <t>EP-179</t>
  </si>
  <si>
    <t>PolicyTriggerEligibilityRouter</t>
  </si>
  <si>
    <t>/internal/triggers/policy/{policyId}/eligibility</t>
  </si>
  <si>
    <t>PolicyTriggerEligibilityHandler.checkEligibility()</t>
  </si>
  <si>
    <t>Is this policy eligible for a trigger-based claim? Policy must be ACTIVE with product, zone and dates; finds latest VERIFIED/PROCESSED event for product+zone inside coverage and checks it satisfies the policy's captured snapshot.</t>
  </si>
  <si>
    <t>Product-Svc GET /internal/policies/{policyId} | DB read: trigger_events</t>
  </si>
  <si>
    <t>EP-180</t>
  </si>
  <si>
    <t>TriggerDefinitionRouter</t>
  </si>
  <si>
    <t>/api/triggers/definitions</t>
  </si>
  <si>
    <t>TriggerDefinitionHandler.getAll()</t>
  </si>
  <si>
    <t>TriggerDefinitionService.getAll()</t>
  </si>
  <si>
    <t>All trigger definitions.</t>
  </si>
  <si>
    <t>DB read: trigger_definitions</t>
  </si>
  <si>
    <t>EP-181</t>
  </si>
  <si>
    <t>/api/triggers/definitions/active</t>
  </si>
  <si>
    <t>TriggerDefinitionHandler.getActive()</t>
  </si>
  <si>
    <t>TriggerDefinitionService.getActive()</t>
  </si>
  <si>
    <t>ACTIVE trigger definitions.</t>
  </si>
  <si>
    <t>EP-182</t>
  </si>
  <si>
    <t>/api/triggers/definitions/peril/{perilId}</t>
  </si>
  <si>
    <t>TriggerDefinitionHandler.getByPerilId()</t>
  </si>
  <si>
    <t>Definitions for a peril.</t>
  </si>
  <si>
    <t>EP-183</t>
  </si>
  <si>
    <t>/api/triggers/definitions/zone/{zoneId}</t>
  </si>
  <si>
    <t>TriggerDefinitionHandler.getByZoneId()</t>
  </si>
  <si>
    <t>Definitions for a zone.</t>
  </si>
  <si>
    <t>EP-184</t>
  </si>
  <si>
    <t>/api/triggers/definitions/product/{productId}</t>
  </si>
  <si>
    <t>TriggerDefinitionHandler.getByProductId()</t>
  </si>
  <si>
    <t>Definitions for a product.</t>
  </si>
  <si>
    <t>EP-185</t>
  </si>
  <si>
    <t>/api/triggers/definitions/{definitionId}</t>
  </si>
  <si>
    <t>TriggerDefinitionHandler.getById()</t>
  </si>
  <si>
    <t>One definition.</t>
  </si>
  <si>
    <t>EP-186</t>
  </si>
  <si>
    <t>TriggerDefinitionHandler.create()</t>
  </si>
  <si>
    <t>TriggerDefinitionService.create()</t>
  </si>
  <si>
    <t>Create a trigger definition (peril, zone, product, measurement, threshold, operator, aggregation, window, min observations) in DRAFT.</t>
  </si>
  <si>
    <t>DB: trigger_definitions | Notification-Svc POST /internal/audit-events</t>
  </si>
  <si>
    <t>EP-187</t>
  </si>
  <si>
    <t>TriggerDefinitionHandler.update()</t>
  </si>
  <si>
    <t>TriggerDefinitionService.update()</t>
  </si>
  <si>
    <t>Update a trigger definition.</t>
  </si>
  <si>
    <t>EP-188</t>
  </si>
  <si>
    <t>/api/triggers/definitions/{definitionId}/status</t>
  </si>
  <si>
    <t>TriggerDefinitionHandler.updateStatus()</t>
  </si>
  <si>
    <t>TriggerDefinitionService.updateStatus()</t>
  </si>
  <si>
    <t>Activate / deactivate a definition (DRAFT/INACTIVE -&gt; ACTIVE, ACTIVE -&gt; INACTIVE).</t>
  </si>
  <si>
    <t>EP-189</t>
  </si>
  <si>
    <t>TriggerDefinitionHandler.archive()</t>
  </si>
  <si>
    <t>TriggerDefinitionService.archive()</t>
  </si>
  <si>
    <t>Archive a definition.</t>
  </si>
  <si>
    <t>EP-190</t>
  </si>
  <si>
    <t>/internal/triggers/products/{productId}/definition</t>
  </si>
  <si>
    <t>TriggerDefinitionHandler.syncProductDefinition()</t>
  </si>
  <si>
    <t>ProductTriggerSyncService.syncProductDefinition()</t>
  </si>
  <si>
    <t>Upsert the per-zone trigger definitions that mirror a product's trigger config (called by Product-Svc on create/update/threshold change/custom policy).</t>
  </si>
  <si>
    <t>DB: trigger_definitions, perils</t>
  </si>
  <si>
    <t>EP-191</t>
  </si>
  <si>
    <t>TriggerEvaluationRouter</t>
  </si>
  <si>
    <t>/api/triggers/evaluations</t>
  </si>
  <si>
    <t>TriggerEvaluationHandler.getAll()</t>
  </si>
  <si>
    <t>TriggerEvaluationService.getAll()</t>
  </si>
  <si>
    <t>All evaluations.</t>
  </si>
  <si>
    <t>DB read: trigger_evaluations</t>
  </si>
  <si>
    <t>EP-192</t>
  </si>
  <si>
    <t>/api/triggers/evaluations/definition/{definitionId}</t>
  </si>
  <si>
    <t>TriggerEvaluationHandler.getByDefinitionId()</t>
  </si>
  <si>
    <t>Evaluations of a definition.</t>
  </si>
  <si>
    <t>EP-193</t>
  </si>
  <si>
    <t>/api/triggers/evaluations/{evaluationId}</t>
  </si>
  <si>
    <t>TriggerEvaluationHandler.getById()</t>
  </si>
  <si>
    <t>One evaluation.</t>
  </si>
  <si>
    <t>EP-194</t>
  </si>
  <si>
    <t>/api/triggers/definitions/{definitionId}/evaluate</t>
  </si>
  <si>
    <t>TriggerEvaluationHandler.evaluate()</t>
  </si>
  <si>
    <t>TriggerEvaluationService.evaluateProductOverride(), TriggerEvaluationService.evaluate()</t>
  </si>
  <si>
    <t>Evaluate a definition now over its window: aggregates VALIDATED observations (SUM/AVERAGE/MIN/MAX/LATEST), compares with threshold -&gt; MATCHED / NOT_MATCHED / INSUFFICIENT_OBSERVATIONS.</t>
  </si>
  <si>
    <t>DB: trigger_evaluations</t>
  </si>
  <si>
    <t>EP-195</t>
  </si>
  <si>
    <t>/internal/triggers/products/{productId}/evaluate</t>
  </si>
  <si>
    <t>Evaluate a product's trigger with admin override values.</t>
  </si>
  <si>
    <t>EP-196</t>
  </si>
  <si>
    <t>TriggerEventRouter</t>
  </si>
  <si>
    <t>/api/triggers/events</t>
  </si>
  <si>
    <t>TriggerEventHandler.getAll()</t>
  </si>
  <si>
    <t>TriggerEventService.getAll()</t>
  </si>
  <si>
    <t>All trigger events.</t>
  </si>
  <si>
    <t>DB read: trigger_events</t>
  </si>
  <si>
    <t>TriggerEventService.getAllEvents</t>
  </si>
  <si>
    <t>/admin/trigger-events, /claims-officer/dashboard</t>
  </si>
  <si>
    <t>EP-197</t>
  </si>
  <si>
    <t>/api/triggers/events/status/{status}</t>
  </si>
  <si>
    <t>TriggerEventHandler.getByStatus()</t>
  </si>
  <si>
    <t>TriggerEventService.getByStatus()</t>
  </si>
  <si>
    <t>Events by status (DETECTED, UNDER_VALIDATION, VERIFIED, REJECTED, PROCESSED).</t>
  </si>
  <si>
    <t>TriggerEventService.getEventsByStatus</t>
  </si>
  <si>
    <t>EP-198</t>
  </si>
  <si>
    <t>/api/triggers/events/definition/{definitionId}</t>
  </si>
  <si>
    <t>TriggerEventHandler.getByDefinitionId()</t>
  </si>
  <si>
    <t>Events of a definition.</t>
  </si>
  <si>
    <t>EP-199</t>
  </si>
  <si>
    <t>/api/triggers/events/product/{productId}</t>
  </si>
  <si>
    <t>TriggerEventHandler.getByProductId()</t>
  </si>
  <si>
    <t>Events of a product.</t>
  </si>
  <si>
    <t>TriggerEventService.getEventsByProduct</t>
  </si>
  <si>
    <t>EP-200</t>
  </si>
  <si>
    <t>/api/triggers/events/zone/{zoneId}</t>
  </si>
  <si>
    <t>TriggerEventHandler.getByZoneId()</t>
  </si>
  <si>
    <t>Events in a zone.</t>
  </si>
  <si>
    <t>TriggerEventService.getEventsByZone</t>
  </si>
  <si>
    <t>EP-201</t>
  </si>
  <si>
    <t>/api/triggers/events/{eventId}</t>
  </si>
  <si>
    <t>TriggerEventHandler.getById()</t>
  </si>
  <si>
    <t>One event.</t>
  </si>
  <si>
    <t>TriggerEventService.getEvent</t>
  </si>
  <si>
    <t>EP-202</t>
  </si>
  <si>
    <t>/api/triggers/events/{eventId}/start-validation</t>
  </si>
  <si>
    <t>TriggerEventHandler.startValidation()</t>
  </si>
  <si>
    <t>TriggerEventService.startValidation()</t>
  </si>
  <si>
    <t>DETECTED -&gt; UNDER_VALIDATION.</t>
  </si>
  <si>
    <t>DB: trigger_events | Notification-Svc POST /internal/audit-events</t>
  </si>
  <si>
    <t>EP-203</t>
  </si>
  <si>
    <t>/api/triggers/events/{eventId}/verify</t>
  </si>
  <si>
    <t>TriggerEventHandler.verify()</t>
  </si>
  <si>
    <t>TriggerEventService.verify(), TriggerEventService.reject()</t>
  </si>
  <si>
    <t>UNDER_VALIDATION -&gt; VERIFIED with review notes; then calls Product-Svc verified-event hook which creates automatic claims.</t>
  </si>
  <si>
    <t>DB: trigger_events | Notification-Svc POST /internal/notifications (TRIGGER_VERIFIED) | Product-Svc POST /internal/products/verified-event | Notification-Svc POST /internal/audit-events (TRIGGER_VERIFIED)</t>
  </si>
  <si>
    <t>EP-204</t>
  </si>
  <si>
    <t>/api/triggers/events/{eventId}/reject</t>
  </si>
  <si>
    <t>TriggerEventHandler.reject()</t>
  </si>
  <si>
    <t>UNDER_VALIDATION -&gt; REJECTED with review notes.</t>
  </si>
  <si>
    <t>DB: trigger_events | Notification-Svc POST /internal/notifications (TRIGGER_REJECTED) | Notification-Svc POST /internal/audit-events</t>
  </si>
  <si>
    <t>EP-205</t>
  </si>
  <si>
    <t>/api/triggers/events/{eventId}/process</t>
  </si>
  <si>
    <t>TriggerEventHandler.process()</t>
  </si>
  <si>
    <t>TriggerEventService.processEvent()</t>
  </si>
  <si>
    <t>VERIFIED -&gt; PROCESSED (idempotent per definition + window).</t>
  </si>
  <si>
    <t>DB: trigger_events, idempotency_records</t>
  </si>
  <si>
    <t>EP-206</t>
  </si>
  <si>
    <t>/internal/triggers/events/{eventId}/processed</t>
  </si>
  <si>
    <t>TriggerEventHandler.markProcessed()</t>
  </si>
  <si>
    <t>Mark VERIFIED event PROCESSED (called by Financial-Svc when a trigger payout succeeds).</t>
  </si>
  <si>
    <t>DB: trigger_events</t>
  </si>
  <si>
    <t>EP-207</t>
  </si>
  <si>
    <t>ZoneMeasurementRouter</t>
  </si>
  <si>
    <t>/api/triggers/measurements/zones</t>
  </si>
  <si>
    <t>ZoneMeasurementService (inline lambda).latestPerZone()</t>
  </si>
  <si>
    <t>ZoneMeasurementService.latestPerZone()</t>
  </si>
  <si>
    <t>Latest weather readings per zone for the zone map.</t>
  </si>
  <si>
    <t>CurrentMeasurementService.getZoneMeasurements</t>
  </si>
  <si>
    <t>/admin/zone-map, /customer/zone-map</t>
  </si>
  <si>
    <t>Handler, Service, Client &amp; Scheduler Methods</t>
  </si>
  <si>
    <t>Extracted from public method signatures in each class.</t>
  </si>
  <si>
    <t>Class</t>
  </si>
  <si>
    <t>Method</t>
  </si>
  <si>
    <t>Signature (return type + parameters)</t>
  </si>
  <si>
    <t>@Scheduled</t>
  </si>
  <si>
    <t>Handler (HTTP)</t>
  </si>
  <si>
    <t>AuthHandler</t>
  </si>
  <si>
    <t>register</t>
  </si>
  <si>
    <t>Mono&lt;ServerResponse&gt; register(ServerRequest request)</t>
  </si>
  <si>
    <t>login</t>
  </si>
  <si>
    <t>Mono&lt;ServerResponse&gt; login(ServerRequest request)</t>
  </si>
  <si>
    <t>refresh</t>
  </si>
  <si>
    <t>Mono&lt;ServerResponse&gt; refresh(ServerRequest request)</t>
  </si>
  <si>
    <t>logout</t>
  </si>
  <si>
    <t>Mono&lt;ServerResponse&gt; logout(ServerRequest request)</t>
  </si>
  <si>
    <t>me</t>
  </si>
  <si>
    <t>Mono&lt;ServerResponse&gt; me(ServerRequest request)</t>
  </si>
  <si>
    <t>sessions</t>
  </si>
  <si>
    <t>Mono&lt;ServerResponse&gt; sessions(ServerRequest request)</t>
  </si>
  <si>
    <t>revokeSession</t>
  </si>
  <si>
    <t>Mono&lt;ServerResponse&gt; revokeSession(ServerRequest request)</t>
  </si>
  <si>
    <t>EmailVerificationHandler</t>
  </si>
  <si>
    <t>verify</t>
  </si>
  <si>
    <t>Mono&lt;ServerResponse&gt; verify(ServerRequest request)</t>
  </si>
  <si>
    <t>resend</t>
  </si>
  <si>
    <t>Mono&lt;ServerResponse&gt; resend(ServerRequest request)</t>
  </si>
  <si>
    <t>resendByEmail</t>
  </si>
  <si>
    <t>Mono&lt;ServerResponse&gt; resendByEmail(ServerRequest request)</t>
  </si>
  <si>
    <t>PasswordResetHandler</t>
  </si>
  <si>
    <t>forgotPassword</t>
  </si>
  <si>
    <t>Mono&lt;ServerResponse&gt; forgotPassword(ServerRequest request)</t>
  </si>
  <si>
    <t>resetPassword</t>
  </si>
  <si>
    <t>Mono&lt;ServerResponse&gt; resetPassword(ServerRequest request)</t>
  </si>
  <si>
    <t>UserHandler</t>
  </si>
  <si>
    <t>saveMyProfile</t>
  </si>
  <si>
    <t>Mono&lt;ServerResponse&gt; saveMyProfile(ServerRequest request)</t>
  </si>
  <si>
    <t>getMyProfile</t>
  </si>
  <si>
    <t>Mono&lt;ServerResponse&gt; getMyProfile(ServerRequest request)</t>
  </si>
  <si>
    <t>deactivateMyProfile</t>
  </si>
  <si>
    <t>Mono&lt;ServerResponse&gt; deactivateMyProfile(ServerRequest request)</t>
  </si>
  <si>
    <t>getAllUsers</t>
  </si>
  <si>
    <t>Mono&lt;ServerResponse&gt; getAllUsers(ServerRequest request)</t>
  </si>
  <si>
    <t>getUser</t>
  </si>
  <si>
    <t>Mono&lt;ServerResponse&gt; getUser(ServerRequest request)</t>
  </si>
  <si>
    <t>updateStatus</t>
  </si>
  <si>
    <t>Mono&lt;ServerResponse&gt; updateStatus(ServerRequest request)</t>
  </si>
  <si>
    <t>Service (business)</t>
  </si>
  <si>
    <t>AuthService</t>
  </si>
  <si>
    <t>Mono&lt;AuthResponse&gt; register(RegisterRequest request,String deviceName,String ipAddress)</t>
  </si>
  <si>
    <t>Mono&lt;AuthResponse&gt; login(LoginRequest request,String deviceName, String ipAddress)</t>
  </si>
  <si>
    <t>Mono&lt;AuthResponse&gt; refresh(RefreshTokenRequest request, String deviceName,String ipAddress)</t>
  </si>
  <si>
    <t>Mono&lt;MessageResponse&gt; logout(Long userId,RefreshTokenRequest request)</t>
  </si>
  <si>
    <t>getCurrentUser</t>
  </si>
  <si>
    <t>Mono&lt;UserResponse&gt; getCurrentUser(Long userId)</t>
  </si>
  <si>
    <t>getSessions</t>
  </si>
  <si>
    <t>Flux&lt;SessionResponse&gt; getSessions(Long userId)</t>
  </si>
  <si>
    <t>Mono&lt;MessageResponse&gt; revokeSession(Long userId,Long sessionId)</t>
  </si>
  <si>
    <t>EmailVerificationService</t>
  </si>
  <si>
    <t>generateToken</t>
  </si>
  <si>
    <t>Mono&lt;MessageResponse&gt; generateToken(Long userId)</t>
  </si>
  <si>
    <t>Mono&lt;MessageResponse&gt; verify(String tokenValue)</t>
  </si>
  <si>
    <t>resendVerification</t>
  </si>
  <si>
    <t>Mono&lt;MessageResponse&gt; resendVerification(String email)</t>
  </si>
  <si>
    <t>Client (outbound REST)</t>
  </si>
  <si>
    <t>NotificationServiceClient</t>
  </si>
  <si>
    <t>audit</t>
  </si>
  <si>
    <t>Mono&lt;Void&gt; audit(String eventType, String entityType, Long entityId, Long actorUserId, String actorRole, String description)</t>
  </si>
  <si>
    <t>PasswordResetService</t>
  </si>
  <si>
    <t>Mono&lt;MessageResponse&gt; generateToken(String email)</t>
  </si>
  <si>
    <t>Mono&lt;MessageResponse&gt; resetPassword(String tokenValue, String newPassword)</t>
  </si>
  <si>
    <t>UserProfileService</t>
  </si>
  <si>
    <t>saveProfile</t>
  </si>
  <si>
    <t>Mono&lt;UserResponse&gt; saveProfile(Long authUserId,UpdateProfileRequest request)</t>
  </si>
  <si>
    <t>Mono&lt;UserResponse&gt; getMyProfile(Long authUserId)</t>
  </si>
  <si>
    <t>deactivateProfile</t>
  </si>
  <si>
    <t>Mono&lt;MessageResponse&gt; deactivateProfile(Long authUserId)</t>
  </si>
  <si>
    <t>Flux&lt;UserResponse&gt; getAllUsers(String status,String segment)</t>
  </si>
  <si>
    <t>Mono&lt;UserResponse&gt; getUser(Long authUserId)</t>
  </si>
  <si>
    <t>Mono&lt;UserResponse&gt; updateStatus(Long authUserId, UpdateUserStatusRequest request)</t>
  </si>
  <si>
    <t>Config / Loader / Scheduler</t>
  </si>
  <si>
    <t>StaffDataLoader</t>
  </si>
  <si>
    <t>run</t>
  </si>
  <si>
    <t>void run(ApplicationArguments args)</t>
  </si>
  <si>
    <t>InternalPolicyHandler</t>
  </si>
  <si>
    <t>getEligiblePolicies</t>
  </si>
  <si>
    <t>Mono&lt;ServerResponse&gt; getEligiblePolicies(ServerRequest request)</t>
  </si>
  <si>
    <t>hasActivePoliciesForZone</t>
  </si>
  <si>
    <t>Mono&lt;ServerResponse&gt; hasActivePoliciesForZone(ServerRequest request)</t>
  </si>
  <si>
    <t>PolicyHandler</t>
  </si>
  <si>
    <t>createPolicy</t>
  </si>
  <si>
    <t>Mono&lt;ServerResponse&gt; createPolicy(ServerRequest request)</t>
  </si>
  <si>
    <t>createCustomPolicy</t>
  </si>
  <si>
    <t>Mono&lt;ServerResponse&gt; createCustomPolicy(ServerRequest request)</t>
  </si>
  <si>
    <t>getActiveZones</t>
  </si>
  <si>
    <t>Mono&lt;ServerResponse&gt; getActiveZones(ServerRequest request)</t>
  </si>
  <si>
    <t>getMyPolicies</t>
  </si>
  <si>
    <t>Mono&lt;ServerResponse&gt; getMyPolicies(ServerRequest request)</t>
  </si>
  <si>
    <t>getMyPolicy</t>
  </si>
  <si>
    <t>Mono&lt;ServerResponse&gt; getMyPolicy(ServerRequest request)</t>
  </si>
  <si>
    <t>cancelPolicy</t>
  </si>
  <si>
    <t>Mono&lt;ServerResponse&gt; cancelPolicy(ServerRequest request)</t>
  </si>
  <si>
    <t>getReviewHistory</t>
  </si>
  <si>
    <t>Mono&lt;ServerResponse&gt; getReviewHistory(ServerRequest request)</t>
  </si>
  <si>
    <t>getPendingPolicies</t>
  </si>
  <si>
    <t>Mono&lt;ServerResponse&gt; getPendingPolicies(ServerRequest request)</t>
  </si>
  <si>
    <t>getAllPolicies</t>
  </si>
  <si>
    <t>Mono&lt;ServerResponse&gt; getAllPolicies(ServerRequest request)</t>
  </si>
  <si>
    <t>getPolicy</t>
  </si>
  <si>
    <t>Mono&lt;ServerResponse&gt; getPolicy(ServerRequest request)</t>
  </si>
  <si>
    <t>approvePolicy</t>
  </si>
  <si>
    <t>Mono&lt;ServerResponse&gt; approvePolicy(ServerRequest request)</t>
  </si>
  <si>
    <t>rejectPolicy</t>
  </si>
  <si>
    <t>Mono&lt;ServerResponse&gt; rejectPolicy(ServerRequest request)</t>
  </si>
  <si>
    <t>getInternalPolicy</t>
  </si>
  <si>
    <t>Mono&lt;ServerResponse&gt; getInternalPolicy(ServerRequest request)</t>
  </si>
  <si>
    <t>getPolicyHistory</t>
  </si>
  <si>
    <t>Mono&lt;ServerResponse&gt; getPolicyHistory(ServerRequest request)</t>
  </si>
  <si>
    <t>getPolicySnapshot</t>
  </si>
  <si>
    <t>Mono&lt;ServerResponse&gt; getPolicySnapshot(ServerRequest request)</t>
  </si>
  <si>
    <t>PolicyLifecycleHandler</t>
  </si>
  <si>
    <t>renew</t>
  </si>
  <si>
    <t>Mono&lt;ServerResponse&gt; renew(ServerRequest request)</t>
  </si>
  <si>
    <t>autoRenew</t>
  </si>
  <si>
    <t>Mono&lt;ServerResponse&gt; autoRenew(ServerRequest request)</t>
  </si>
  <si>
    <t>customerCertificate</t>
  </si>
  <si>
    <t>Mono&lt;ServerResponse&gt; customerCertificate(ServerRequest request)</t>
  </si>
  <si>
    <t>staffCertificate</t>
  </si>
  <si>
    <t>Mono&lt;ServerResponse&gt; staffCertificate(ServerRequest request)</t>
  </si>
  <si>
    <t>ProductHandler</t>
  </si>
  <si>
    <t>createProduct</t>
  </si>
  <si>
    <t>Mono&lt;ServerResponse&gt; createProduct(ServerRequest request)</t>
  </si>
  <si>
    <t>updateProduct</t>
  </si>
  <si>
    <t>Mono&lt;ServerResponse&gt; updateProduct(ServerRequest request)</t>
  </si>
  <si>
    <t>getProducts</t>
  </si>
  <si>
    <t>Mono&lt;ServerResponse&gt; getProducts(ServerRequest request)</t>
  </si>
  <si>
    <t>getProduct</t>
  </si>
  <si>
    <t>Mono&lt;ServerResponse&gt; getProduct(ServerRequest request)</t>
  </si>
  <si>
    <t>getByCategory</t>
  </si>
  <si>
    <t>Mono&lt;ServerResponse&gt; getByCategory(ServerRequest request)</t>
  </si>
  <si>
    <t>getAllProducts</t>
  </si>
  <si>
    <t>Mono&lt;ServerResponse&gt; getAllProducts(ServerRequest request)</t>
  </si>
  <si>
    <t>deleteProduct</t>
  </si>
  <si>
    <t>Mono&lt;ServerResponse&gt; deleteProduct(ServerRequest request)</t>
  </si>
  <si>
    <t>getAdminProduct</t>
  </si>
  <si>
    <t>Mono&lt;ServerResponse&gt; getAdminProduct(ServerRequest request)</t>
  </si>
  <si>
    <t>getInternalProduct</t>
  </si>
  <si>
    <t>Mono&lt;ServerResponse&gt; getInternalProduct(ServerRequest request)</t>
  </si>
  <si>
    <t>getInternalProducts</t>
  </si>
  <si>
    <t>Mono&lt;ServerResponse&gt; getInternalProducts(ServerRequest request)</t>
  </si>
  <si>
    <t>getInternalProductByCode</t>
  </si>
  <si>
    <t>Mono&lt;ServerResponse&gt; getInternalProductByCode(ServerRequest request)</t>
  </si>
  <si>
    <t>updateThreshold</t>
  </si>
  <si>
    <t>Mono&lt;ServerResponse&gt; updateThreshold(ServerRequest request)</t>
  </si>
  <si>
    <t>getThresholdHistory</t>
  </si>
  <si>
    <t>Mono&lt;ServerResponse&gt; getThresholdHistory(ServerRequest request)</t>
  </si>
  <si>
    <t>syncTrigger</t>
  </si>
  <si>
    <t>Mono&lt;ServerResponse&gt; syncTrigger(ServerRequest request)</t>
  </si>
  <si>
    <t>getMeasurementStatus</t>
  </si>
  <si>
    <t>Mono&lt;ServerResponse&gt; getMeasurementStatus(ServerRequest request)</t>
  </si>
  <si>
    <t>getPublicMeasurementStatus</t>
  </si>
  <si>
    <t>Mono&lt;ServerResponse&gt; getPublicMeasurementStatus(ServerRequest request)</t>
  </si>
  <si>
    <t>processVerifiedEvent</t>
  </si>
  <si>
    <t>Mono&lt;ServerResponse&gt; processVerifiedEvent(ServerRequest request)</t>
  </si>
  <si>
    <t>NotificationService</t>
  </si>
  <si>
    <t>Mono&lt;Void&gt; audit(String eventType, String entityType, Long entityId, Long actorId, String details)</t>
  </si>
  <si>
    <t>notifyPolicySubmitted</t>
  </si>
  <si>
    <t>Mono&lt;Void&gt; notifyPolicySubmitted(Long customerId, Long policyId, String policyNumber)</t>
  </si>
  <si>
    <t>notifyPolicyPendingReview</t>
  </si>
  <si>
    <t>Mono&lt;Void&gt; notifyPolicyPendingReview(Long policyId, String policyNumber)</t>
  </si>
  <si>
    <t>notifyPolicyApproved</t>
  </si>
  <si>
    <t>Mono&lt;Void&gt; notifyPolicyApproved(Long customerId, Long policyId, String policyNumber)</t>
  </si>
  <si>
    <t>notifyPolicyRejected</t>
  </si>
  <si>
    <t>Mono&lt;Void&gt; notifyPolicyRejected(Long customerId, Long policyId, String policyNumber, String reason)</t>
  </si>
  <si>
    <t>notifyPolicyCancelled</t>
  </si>
  <si>
    <t>Mono&lt;Void&gt; notifyPolicyCancelled(Long customerId, Long policyId, String policyNumber)</t>
  </si>
  <si>
    <t>notifyPolicyExpired</t>
  </si>
  <si>
    <t>Mono&lt;Void&gt; notifyPolicyExpired(Long customerId, Long policyId, String policyNumber)</t>
  </si>
  <si>
    <t>notifyPolicyRenewalDue</t>
  </si>
  <si>
    <t>Mono&lt;Void&gt; notifyPolicyRenewalDue(Long customerId, Long policyId, String policyNumber)</t>
  </si>
  <si>
    <t>notifyPolicyDocumentRequested</t>
  </si>
  <si>
    <t>Mono&lt;Void&gt; notifyPolicyDocumentRequested(Long customerId, Long policyId, String policyNumber)</t>
  </si>
  <si>
    <t>notifyProductCreated</t>
  </si>
  <si>
    <t>Mono&lt;Void&gt; notifyProductCreated(Long productId, String productName)</t>
  </si>
  <si>
    <t>notifyProductUpdated</t>
  </si>
  <si>
    <t>Mono&lt;Void&gt; notifyProductUpdated(Long productId, String productName)</t>
  </si>
  <si>
    <t>sendNotification</t>
  </si>
  <si>
    <t>Mono&lt;Void&gt; sendNotification(NotificationRequest request)</t>
  </si>
  <si>
    <t>sendAuditEvent</t>
  </si>
  <si>
    <t>Mono&lt;Void&gt; sendAuditEvent(AuditEventRequest request)</t>
  </si>
  <si>
    <t>PolicyCertificateService</t>
  </si>
  <si>
    <t>forCustomer</t>
  </si>
  <si>
    <t>Mono&lt;Certificate&gt; forCustomer(Long customerId,Long policyId)</t>
  </si>
  <si>
    <t>forStaff</t>
  </si>
  <si>
    <t>Mono&lt;Certificate&gt; forStaff(Long policyId)</t>
  </si>
  <si>
    <t>PolicyService</t>
  </si>
  <si>
    <t>Mono&lt;PolicyResponse&gt; createPolicy(Long customerId, CreatePolicyRequest request)</t>
  </si>
  <si>
    <t>Mono&lt;PolicyResponse&gt; createCustomPolicy(Long customerId, CreateCustomPolicyRequest request)</t>
  </si>
  <si>
    <t>Flux&lt;PolicyResponse&gt; getMyPolicies(Long customerId, String status)</t>
  </si>
  <si>
    <t>Mono&lt;PolicyResponse&gt; getMyPolicy(Long customerId, Long policyId)</t>
  </si>
  <si>
    <t>Mono&lt;MessageResponse&gt; cancelPolicy(Long customerId, Long policyId)</t>
  </si>
  <si>
    <t>Flux&lt;PolicyReviewHistoryResponse&gt; getReviewHistory(Long reviewerId)</t>
  </si>
  <si>
    <t>Flux&lt;PolicyResponse&gt; getPendingPolicies()</t>
  </si>
  <si>
    <t>Flux&lt;PolicyResponse&gt; getAllPolicies(String status,Long customerId)</t>
  </si>
  <si>
    <t>Mono&lt;PolicyResponse&gt; getPolicy(Long policyId)</t>
  </si>
  <si>
    <t>Mono&lt;PolicyResponse&gt; approvePolicy(Long reviewerId, Long policyId)</t>
  </si>
  <si>
    <t>Mono&lt;PolicyResponse&gt; rejectPolicy(Long reviewerId, Long policyId, PolicyDecisionRequest request)</t>
  </si>
  <si>
    <t>Mono&lt;InternalPolicyResponse&gt; getInternalPolicy(Long policyId)</t>
  </si>
  <si>
    <t>Flux&lt;PolicyStatusHistoryResponse&gt; getPolicyHistory(Long policyId)</t>
  </si>
  <si>
    <t>Mono&lt;PolicyTriggerSnapshotResponse&gt; getPolicySnapshot(Long policyId)</t>
  </si>
  <si>
    <t>renewPolicy</t>
  </si>
  <si>
    <t>Mono&lt;PolicyResponse&gt; renewPolicy(Long customerId,Long policyId)</t>
  </si>
  <si>
    <t>createAutomaticRenewal</t>
  </si>
  <si>
    <t>Mono&lt;PolicyResponse&gt; createAutomaticRenewal(Policy policy)</t>
  </si>
  <si>
    <t>setAutoRenew</t>
  </si>
  <si>
    <t>Mono&lt;PolicyResponse&gt; setAutoRenew(Long customerId,Long policyId,boolean enabled)</t>
  </si>
  <si>
    <t>Mono&lt;List&lt;InternalZoneResponse&gt;&gt; getActiveZones()</t>
  </si>
  <si>
    <t>ProductService</t>
  </si>
  <si>
    <t>Mono&lt;ProductResponse&gt; createProduct(Long adminId, ProductRequest request)</t>
  </si>
  <si>
    <t>createCustomerDefinedProduct</t>
  </si>
  <si>
    <t>Mono&lt;ProductResponse&gt; createCustomerDefinedProduct(Long customerId, ProductRequest request)</t>
  </si>
  <si>
    <t>Mono&lt;ProductResponse&gt; updateProduct(Long productId, ProductRequest request)</t>
  </si>
  <si>
    <t>getActiveProducts</t>
  </si>
  <si>
    <t>Flux&lt;ProductResponse&gt; getActiveProducts()</t>
  </si>
  <si>
    <t>getActiveProduct</t>
  </si>
  <si>
    <t>Mono&lt;ProductResponse&gt; getActiveProduct(Long productId)</t>
  </si>
  <si>
    <t>getProductsByCategory</t>
  </si>
  <si>
    <t>Flux&lt;ProductResponse&gt; getProductsByCategory(String category)</t>
  </si>
  <si>
    <t>Flux&lt;ProductResponse&gt; getAllProducts()</t>
  </si>
  <si>
    <t>getEligiblePoliciesForEvent</t>
  </si>
  <si>
    <t>Flux&lt;EligiblePolicyResponse&gt; getEligiblePoliciesForEvent(Long productId, Long locationZoneId, LocalDateTime eventStart, LocalDateTime eventEnd, Long triggerEventId)</t>
  </si>
  <si>
    <t>Mono&lt;Boolean&gt; hasActivePoliciesForZone(Long locationZoneId)</t>
  </si>
  <si>
    <t>Mono&lt;ProductResponse&gt; updateStatus(Long productId, UpdateProductStatusRequest request)</t>
  </si>
  <si>
    <t>Mono&lt;MessageResponse&gt; deleteProduct(Long productId)</t>
  </si>
  <si>
    <t>Mono&lt;ProductThresholdUpdateResponse&gt; updateThreshold(Long adminId, Long productId, ProductThresholdUpdateRequest request)</t>
  </si>
  <si>
    <t>Mono&lt;VerifiedEventProcessingResponse&gt; processVerifiedEvent(VerifiedEventRequest request)</t>
  </si>
  <si>
    <t>Flux&lt;MeasurementStatusResponse&gt; getMeasurementStatus()</t>
  </si>
  <si>
    <t>Flux&lt;MeasurementStatusResponse&gt; getPublicMeasurementStatus()</t>
  </si>
  <si>
    <t>Flux&lt;ProductThresholdHistoryResponse&gt; getThresholdHistory(Long productId)</t>
  </si>
  <si>
    <t>Mono&lt;ProductTriggerSyncResponse&gt; syncTrigger(Long adminId,Long productId)</t>
  </si>
  <si>
    <t>Mono&lt;ProductResponse&gt; getProduct(Long productId)</t>
  </si>
  <si>
    <t>Mono&lt;InternalProductResponse&gt; getInternalProduct(Long productId)</t>
  </si>
  <si>
    <t>getAllInternalProducts</t>
  </si>
  <si>
    <t>Flux&lt;InternalProductResponse&gt; getAllInternalProducts()</t>
  </si>
  <si>
    <t>Mono&lt;InternalProductResponse&gt; getInternalProductByCode(String productCode)</t>
  </si>
  <si>
    <t>ClaimsServiceClient</t>
  </si>
  <si>
    <t>createInternalClaim</t>
  </si>
  <si>
    <t>Mono&lt;InternalClaimResponse&gt; createInternalClaim(Object payload)</t>
  </si>
  <si>
    <t>FinancialServiceClient</t>
  </si>
  <si>
    <t>validateQuote</t>
  </si>
  <si>
    <t>Mono&lt;InternalQuoteResponse&gt; validateQuote(Long quoteId, InternalQuoteValidateRequest request)</t>
  </si>
  <si>
    <t>consumeQuote</t>
  </si>
  <si>
    <t>Mono&lt;InternalQuoteResponse&gt; consumeQuote(Long quoteId, InternalQuoteConsumeRequest request)</t>
  </si>
  <si>
    <t>calculatePremium</t>
  </si>
  <si>
    <t>Mono&lt;java.math.BigDecimal&gt; calculatePremium(Long productId, Long locationZoneId, java.math.BigDecimal sumInsured, Integer termMonths)</t>
  </si>
  <si>
    <t>TriggerServiceClient</t>
  </si>
  <si>
    <t>Flux&lt;InternalZoneResponse&gt; getActiveZones()</t>
  </si>
  <si>
    <t>getActiveZonesList</t>
  </si>
  <si>
    <t>Mono&lt;List&lt;InternalZoneResponse&gt;&gt; getActiveZonesList()</t>
  </si>
  <si>
    <t>getPolicyEligibility</t>
  </si>
  <si>
    <t>Mono&lt;org.example.productservice.dto.PolicyTriggerEligibilityResponse&gt; getPolicyEligibility(Long policyId)</t>
  </si>
  <si>
    <t>getZoneById</t>
  </si>
  <si>
    <t>Mono&lt;InternalZoneResponse&gt; getZoneById(Long zoneId)</t>
  </si>
  <si>
    <t>getCurrentMeasurements</t>
  </si>
  <si>
    <t>Flux&lt;MeasurementCurrentResponse&gt; getCurrentMeasurements()</t>
  </si>
  <si>
    <t>syncProductDefinition</t>
  </si>
  <si>
    <t>Mono&lt;Void&gt; syncProductDefinition(ProductTriggerSyncRequest request)</t>
  </si>
  <si>
    <t>evaluateProductWithOverride</t>
  </si>
  <si>
    <t>Mono&lt;Void&gt; evaluateProductWithOverride(Long productId, ProductTriggerSyncRequest request)</t>
  </si>
  <si>
    <t>DemoPolicyDataLoader</t>
  </si>
  <si>
    <t>PolicyExpiryScheduler</t>
  </si>
  <si>
    <t>expirePolicies</t>
  </si>
  <si>
    <t>Mono&lt;Void&gt; expirePolicies()</t>
  </si>
  <si>
    <t>cron="0 0 1 * * ?"</t>
  </si>
  <si>
    <t>PolicyRenewalScheduler</t>
  </si>
  <si>
    <t>runRenewalSweep</t>
  </si>
  <si>
    <t>void runRenewalSweep()</t>
  </si>
  <si>
    <t>cron="0 30 1 * * ?"</t>
  </si>
  <si>
    <t>ProductDataLoader</t>
  </si>
  <si>
    <t>ClaimDocumentHandler</t>
  </si>
  <si>
    <t>upload</t>
  </si>
  <si>
    <t>Mono&lt;ServerResponse&gt; upload(ServerRequest request)</t>
  </si>
  <si>
    <t>listMine</t>
  </si>
  <si>
    <t>Mono&lt;ServerResponse&gt; listMine(ServerRequest request)</t>
  </si>
  <si>
    <t>downloadMine</t>
  </si>
  <si>
    <t>Mono&lt;ServerResponse&gt; downloadMine(ServerRequest request)</t>
  </si>
  <si>
    <t>listForReview</t>
  </si>
  <si>
    <t>Mono&lt;ServerResponse&gt; listForReview(ServerRequest request)</t>
  </si>
  <si>
    <t>downloadForReview</t>
  </si>
  <si>
    <t>Mono&lt;ServerResponse&gt; downloadForReview(ServerRequest request)</t>
  </si>
  <si>
    <t>ClaimHandler</t>
  </si>
  <si>
    <t>createClaim</t>
  </si>
  <si>
    <t>Mono&lt;ServerResponse&gt; createClaim(ServerRequest request)</t>
  </si>
  <si>
    <t>getMyClaims</t>
  </si>
  <si>
    <t>Mono&lt;ServerResponse&gt; getMyClaims(ServerRequest request)</t>
  </si>
  <si>
    <t>getMyClaim</t>
  </si>
  <si>
    <t>Mono&lt;ServerResponse&gt; getMyClaim(ServerRequest request)</t>
  </si>
  <si>
    <t>cancelClaim</t>
  </si>
  <si>
    <t>Mono&lt;ServerResponse&gt; cancelClaim(ServerRequest request)</t>
  </si>
  <si>
    <t>getSubmittedClaims</t>
  </si>
  <si>
    <t>Mono&lt;ServerResponse&gt; getSubmittedClaims(ServerRequest request)</t>
  </si>
  <si>
    <t>getManualClaims</t>
  </si>
  <si>
    <t>Mono&lt;ServerResponse&gt; getManualClaims(ServerRequest request)</t>
  </si>
  <si>
    <t>getManualClaim</t>
  </si>
  <si>
    <t>Mono&lt;ServerResponse&gt; getManualClaim(ServerRequest request)</t>
  </si>
  <si>
    <t>getAllClaims</t>
  </si>
  <si>
    <t>Mono&lt;ServerResponse&gt; getAllClaims(ServerRequest request)</t>
  </si>
  <si>
    <t>getClaim</t>
  </si>
  <si>
    <t>Mono&lt;ServerResponse&gt; getClaim(ServerRequest request)</t>
  </si>
  <si>
    <t>getInternalClaim</t>
  </si>
  <si>
    <t>Mono&lt;ServerResponse&gt; getInternalClaim(ServerRequest request)</t>
  </si>
  <si>
    <t>Mono&lt;ServerResponse&gt; createInternalClaim(ServerRequest request)</t>
  </si>
  <si>
    <t>createClaimsFromTriggerEvent</t>
  </si>
  <si>
    <t>Mono&lt;ServerResponse&gt; createClaimsFromTriggerEvent(ServerRequest request)</t>
  </si>
  <si>
    <t>startReview</t>
  </si>
  <si>
    <t>Mono&lt;ServerResponse&gt; startReview(ServerRequest request)</t>
  </si>
  <si>
    <t>approveClaim</t>
  </si>
  <si>
    <t>Mono&lt;ServerResponse&gt; approveClaim(ServerRequest request)</t>
  </si>
  <si>
    <t>rejectClaim</t>
  </si>
  <si>
    <t>Mono&lt;ServerResponse&gt; rejectClaim(ServerRequest request)</t>
  </si>
  <si>
    <t>settleClaim</t>
  </si>
  <si>
    <t>Mono&lt;ServerResponse&gt; settleClaim(ServerRequest request)</t>
  </si>
  <si>
    <t>getMyClaimTimeline</t>
  </si>
  <si>
    <t>Mono&lt;ServerResponse&gt; getMyClaimTimeline(ServerRequest request)</t>
  </si>
  <si>
    <t>getClaimTimeline</t>
  </si>
  <si>
    <t>Mono&lt;ServerResponse&gt; getClaimTimeline(ServerRequest request)</t>
  </si>
  <si>
    <t>ClaimDocumentService</t>
  </si>
  <si>
    <t>Mono&lt;List&lt;ClaimDocumentResponse&gt;&gt; upload(Long customerId, Long claimId, List&lt;FilePart&gt; files)</t>
  </si>
  <si>
    <t>listForCustomer</t>
  </si>
  <si>
    <t>Flux&lt;ClaimDocumentResponse&gt; listForCustomer(Long customerId,Long claimId)</t>
  </si>
  <si>
    <t>listForStaff</t>
  </si>
  <si>
    <t>Flux&lt;ClaimDocumentResponse&gt; listForStaff(Long claimId)</t>
  </si>
  <si>
    <t>downloadForCustomer</t>
  </si>
  <si>
    <t>Mono&lt;DocumentContent&gt; downloadForCustomer(Long customerId,Long claimId,Long documentId)</t>
  </si>
  <si>
    <t>downloadForStaff</t>
  </si>
  <si>
    <t>Mono&lt;DocumentContent&gt; downloadForStaff(Long claimId,Long documentId)</t>
  </si>
  <si>
    <t>ClaimService</t>
  </si>
  <si>
    <t>Mono&lt;ClaimResponse&gt; createClaim(Long customerId,CreateClaimRequest request)</t>
  </si>
  <si>
    <t>Flux&lt;ClaimResponse&gt; getMyClaims(Long customerId,String status)</t>
  </si>
  <si>
    <t>Mono&lt;ClaimResponse&gt; getMyClaim(Long customerId,Long claimId)</t>
  </si>
  <si>
    <t>Mono&lt;MessageResponse&gt; cancelClaim(Long customerId,Long claimId)</t>
  </si>
  <si>
    <t>Flux&lt;org.example.claimsservice.dto.ClaimReviewHistoryResponse&gt; getReviewHistory(Long officerId)</t>
  </si>
  <si>
    <t>Flux&lt;ClaimResponse&gt; getSubmittedClaims()</t>
  </si>
  <si>
    <t>Flux&lt;ClaimResponse&gt; getManualClaims()</t>
  </si>
  <si>
    <t>Mono&lt;ClaimResponse&gt; getManualClaim(Long claimId)</t>
  </si>
  <si>
    <t>Flux&lt;ClaimResponse&gt; getAllClaims(String status,Long customerId)</t>
  </si>
  <si>
    <t>Mono&lt;ClaimResponse&gt; getClaim(Long claimId)</t>
  </si>
  <si>
    <t>Mono&lt;InternalClaimResponse&gt; getInternalClaim(Long claimId)</t>
  </si>
  <si>
    <t>Mono&lt;org.example.claimsservice.dto.ClaimCreationResponse&gt; createClaimsFromTriggerEvent(org.example.claimsservice.dto.ClaimCreationRequest request)</t>
  </si>
  <si>
    <t>Mono&lt;InternalClaimResponse&gt; createInternalClaim(CreateClaimRequest request)</t>
  </si>
  <si>
    <t>Mono&lt;ClaimResponse&gt; startReview(Long reviewerId,Long claimId)</t>
  </si>
  <si>
    <t>Mono&lt;ClaimResponse&gt; approveClaim(Long reviewerId, Long claimId, ApproveClaimRequest request)</t>
  </si>
  <si>
    <t>requestPayout</t>
  </si>
  <si>
    <t>Mono&lt;Void&gt; requestPayout(Long claimId)</t>
  </si>
  <si>
    <t>Mono&lt;ClaimResponse&gt; rejectClaim(Long reviewerId, Long claimId, RejectClaimRequest request)</t>
  </si>
  <si>
    <t>Mono&lt;ClaimResponse&gt; settleClaim(Long officerId, Long claimId, SettleClaimRequest request)</t>
  </si>
  <si>
    <t>Flux&lt;ClaimTimelineResponse&gt; getClaimTimeline(Long customerId,Long claimId)</t>
  </si>
  <si>
    <t>getClaimTimelineAdmin</t>
  </si>
  <si>
    <t>Flux&lt;ClaimTimelineResponse&gt; getClaimTimelineAdmin(Long claimId)</t>
  </si>
  <si>
    <t>createPayoutForClaim</t>
  </si>
  <si>
    <t>Mono&lt;Void&gt; createPayoutForClaim(Long claimId)</t>
  </si>
  <si>
    <t>notifyClaimSubmitted</t>
  </si>
  <si>
    <t>Mono&lt;Void&gt; notifyClaimSubmitted(Long customerId, Long claimId, String claimNumber)</t>
  </si>
  <si>
    <t>notifyManualClaimSubmitted</t>
  </si>
  <si>
    <t>Mono&lt;Void&gt; notifyManualClaimSubmitted(Long customerId, Long claimId, String claimNumber)</t>
  </si>
  <si>
    <t>notifyClaimUnderReview</t>
  </si>
  <si>
    <t>Mono&lt;Void&gt; notifyClaimUnderReview(Long customerId, Long claimId, String claimNumber)</t>
  </si>
  <si>
    <t>notifyClaimApproved</t>
  </si>
  <si>
    <t>Mono&lt;Void&gt; notifyClaimApproved(Long customerId, Long claimId, String claimNumber)</t>
  </si>
  <si>
    <t>notifyClaimRejected</t>
  </si>
  <si>
    <t>Mono&lt;Void&gt; notifyClaimRejected(Long customerId, Long claimId, String claimNumber, String reason)</t>
  </si>
  <si>
    <t>notifyClaimSettled</t>
  </si>
  <si>
    <t>Mono&lt;Void&gt; notifyClaimSettled(Long customerId, Long claimId, String claimNumber)</t>
  </si>
  <si>
    <t>notifyClaimCancelled</t>
  </si>
  <si>
    <t>Mono&lt;Void&gt; notifyClaimCancelled(Long customerId, Long claimId, String claimNumber)</t>
  </si>
  <si>
    <t>notifyClaimPendingReview</t>
  </si>
  <si>
    <t>Mono&lt;Void&gt; notifyClaimPendingReview(Long claimId, String claimNumber)</t>
  </si>
  <si>
    <t>TriggerEligibilityClient</t>
  </si>
  <si>
    <t>getEligibility</t>
  </si>
  <si>
    <t>Mono&lt;PolicyTriggerEligibilityResponse&gt; getEligibility(Long policyId)</t>
  </si>
  <si>
    <t>DemoObservationHandler</t>
  </si>
  <si>
    <t>recordAndEvaluate</t>
  </si>
  <si>
    <t>Mono&lt;ServerResponse&gt; recordAndEvaluate(ServerRequest request)</t>
  </si>
  <si>
    <t>DemoSimulationHandler</t>
  </si>
  <si>
    <t>simulateThresholdCrossing</t>
  </si>
  <si>
    <t>Mono&lt;ServerResponse&gt; simulateThresholdCrossing(ServerRequest request)</t>
  </si>
  <si>
    <t>LocationZoneHandler</t>
  </si>
  <si>
    <t>getAll</t>
  </si>
  <si>
    <t>Mono&lt;ServerResponse&gt; getAll(ServerRequest request)</t>
  </si>
  <si>
    <t>getById</t>
  </si>
  <si>
    <t>Mono&lt;ServerResponse&gt; getById(ServerRequest request)</t>
  </si>
  <si>
    <t>getInternalById</t>
  </si>
  <si>
    <t>Mono&lt;ServerResponse&gt; getInternalById(ServerRequest request)</t>
  </si>
  <si>
    <t>create</t>
  </si>
  <si>
    <t>Mono&lt;ServerResponse&gt; create(ServerRequest request)</t>
  </si>
  <si>
    <t>update</t>
  </si>
  <si>
    <t>Mono&lt;ServerResponse&gt; update(ServerRequest request)</t>
  </si>
  <si>
    <t>archive</t>
  </si>
  <si>
    <t>Mono&lt;ServerResponse&gt; archive(ServerRequest request)</t>
  </si>
  <si>
    <t>getActive</t>
  </si>
  <si>
    <t>Mono&lt;ServerResponse&gt; getActive(ServerRequest request)</t>
  </si>
  <si>
    <t>getInternalActive</t>
  </si>
  <si>
    <t>Mono&lt;ServerResponse&gt; getInternalActive(ServerRequest request)</t>
  </si>
  <si>
    <t>MeasurementHandler</t>
  </si>
  <si>
    <t>processCurrentMeasurement</t>
  </si>
  <si>
    <t>Mono&lt;ServerResponse&gt; processCurrentMeasurement(ServerRequest request)</t>
  </si>
  <si>
    <t>getMeasurementTypes</t>
  </si>
  <si>
    <t>Mono&lt;ServerResponse&gt; getMeasurementTypes(ServerRequest request)</t>
  </si>
  <si>
    <t>Mono&lt;ServerResponse&gt; getCurrentMeasurements(ServerRequest request)</t>
  </si>
  <si>
    <t>getCurrentMeasurementSnapshots</t>
  </si>
  <si>
    <t>Mono&lt;ServerResponse&gt; getCurrentMeasurementSnapshots(ServerRequest request)</t>
  </si>
  <si>
    <t>getCurrentMeasurementsInternal</t>
  </si>
  <si>
    <t>Mono&lt;ServerResponse&gt; getCurrentMeasurementsInternal(ServerRequest request)</t>
  </si>
  <si>
    <t>MonitorRunHandler</t>
  </si>
  <si>
    <t>triggerScan</t>
  </si>
  <si>
    <t>Mono&lt;ServerResponse&gt; triggerScan(ServerRequest request)</t>
  </si>
  <si>
    <t>ObservationHandler</t>
  </si>
  <si>
    <t>getByZoneId</t>
  </si>
  <si>
    <t>Mono&lt;ServerResponse&gt; getByZoneId(ServerRequest request)</t>
  </si>
  <si>
    <t>getByMeasurementType</t>
  </si>
  <si>
    <t>Mono&lt;ServerResponse&gt; getByMeasurementType(ServerRequest request)</t>
  </si>
  <si>
    <t>ObservationValidationHandler</t>
  </si>
  <si>
    <t>getReceived</t>
  </si>
  <si>
    <t>Mono&lt;ServerResponse&gt; getReceived(ServerRequest request)</t>
  </si>
  <si>
    <t>validate</t>
  </si>
  <si>
    <t>Mono&lt;ServerResponse&gt; validate(ServerRequest request)</t>
  </si>
  <si>
    <t>reject</t>
  </si>
  <si>
    <t>Mono&lt;ServerResponse&gt; reject(ServerRequest request)</t>
  </si>
  <si>
    <t>validateAll</t>
  </si>
  <si>
    <t>Mono&lt;ServerResponse&gt; validateAll(ServerRequest request)</t>
  </si>
  <si>
    <t>PerilHandler</t>
  </si>
  <si>
    <t>PolicyTriggerEligibilityHandler</t>
  </si>
  <si>
    <t>checkEligibility</t>
  </si>
  <si>
    <t>Mono&lt;ServerResponse&gt; checkEligibility(ServerRequest request)</t>
  </si>
  <si>
    <t>TriggerDefinitionHandler</t>
  </si>
  <si>
    <t>getByPerilId</t>
  </si>
  <si>
    <t>Mono&lt;ServerResponse&gt; getByPerilId(ServerRequest request)</t>
  </si>
  <si>
    <t>getByProductId</t>
  </si>
  <si>
    <t>Mono&lt;ServerResponse&gt; getByProductId(ServerRequest request)</t>
  </si>
  <si>
    <t>Mono&lt;ServerResponse&gt; syncProductDefinition(ServerRequest request)</t>
  </si>
  <si>
    <t>TriggerEvaluationHandler</t>
  </si>
  <si>
    <t>getByDefinitionId</t>
  </si>
  <si>
    <t>Mono&lt;ServerResponse&gt; getByDefinitionId(ServerRequest request)</t>
  </si>
  <si>
    <t>evaluate</t>
  </si>
  <si>
    <t>Mono&lt;ServerResponse&gt; evaluate(ServerRequest request)</t>
  </si>
  <si>
    <t>TriggerEventHandler</t>
  </si>
  <si>
    <t>getByStatus</t>
  </si>
  <si>
    <t>Mono&lt;ServerResponse&gt; getByStatus(ServerRequest request)</t>
  </si>
  <si>
    <t>startValidation</t>
  </si>
  <si>
    <t>Mono&lt;ServerResponse&gt; startValidation(ServerRequest request)</t>
  </si>
  <si>
    <t>process</t>
  </si>
  <si>
    <t>Mono&lt;ServerResponse&gt; process(ServerRequest request)</t>
  </si>
  <si>
    <t>markProcessed</t>
  </si>
  <si>
    <t>Mono&lt;ServerResponse&gt; markProcessed(ServerRequest request)</t>
  </si>
  <si>
    <t>DemoObservationService</t>
  </si>
  <si>
    <t>Mono&lt;DemoObservationResponse&gt; recordAndEvaluate(DemoObservationRequest request, Long userId)</t>
  </si>
  <si>
    <t>DemoSimulationService</t>
  </si>
  <si>
    <t>Flux&lt;DemoSimulationResult&gt; simulateThresholdCrossing(Long productId, Long userId)</t>
  </si>
  <si>
    <t>IdempotencyService</t>
  </si>
  <si>
    <t>isDuplicate</t>
  </si>
  <si>
    <t>Mono&lt;Boolean&gt; isDuplicate(String idempotencyKey)</t>
  </si>
  <si>
    <t>resourceId</t>
  </si>
  <si>
    <t>Mono&lt;Long&gt; resourceId(String idempotencyKey)</t>
  </si>
  <si>
    <t>record</t>
  </si>
  <si>
    <t>Mono&lt;IdempotencyRecord&gt; record(String idempotencyKey, String operationType, Long resourceId)</t>
  </si>
  <si>
    <t>buildTriggerEventKey</t>
  </si>
  <si>
    <t>static String buildTriggerEventKey(Long definitionId, java.time.LocalDateTime windowStart, java.time.LocalDateTime windowEnd)</t>
  </si>
  <si>
    <t>buildPolicyEvaluationKey</t>
  </si>
  <si>
    <t>static String buildPolicyEvaluationKey(Long policyId, Long triggerEventId)</t>
  </si>
  <si>
    <t>LocationZoneService</t>
  </si>
  <si>
    <t>Flux&lt;LocationZoneResponse&gt; getAll(String state)</t>
  </si>
  <si>
    <t>Flux&lt;LocationZoneResponse&gt; getActive()</t>
  </si>
  <si>
    <t>Mono&lt;LocationZoneResponse&gt; getById(Long zoneId)</t>
  </si>
  <si>
    <t>Mono&lt;InternalZoneResponse&gt; getInternalById(Long zoneId)</t>
  </si>
  <si>
    <t>getActiveInternal</t>
  </si>
  <si>
    <t>Flux&lt;InternalZoneResponse&gt; getActiveInternal()</t>
  </si>
  <si>
    <t>Mono&lt;LocationZoneResponse&gt; create(LocationZoneRequest request,Long userId)</t>
  </si>
  <si>
    <t>Mono&lt;LocationZoneResponse&gt; update(Long zoneId, LocationZoneRequest request, Long userId)</t>
  </si>
  <si>
    <t>Mono&lt;LocationZoneResponse&gt; updateStatus(Long zoneId, String statusValue, Long userId)</t>
  </si>
  <si>
    <t>Mono&lt;Void&gt; archive(Long zoneId,Long userId)</t>
  </si>
  <si>
    <t>MeasurementService</t>
  </si>
  <si>
    <t>Flux&lt;MeasurementTypeInfo&gt; getMeasurementTypes()</t>
  </si>
  <si>
    <t>Mono&lt;CurrentMeasurementResult&gt; processCurrentMeasurement(CurrentMeasurementRequest request,Long recordedBy)</t>
  </si>
  <si>
    <t>Flux&lt;org.example.triggerservice.dto.CurrentMeasurementSnapshotResponse&gt; getCurrentMeasurementSnapshots()</t>
  </si>
  <si>
    <t>MonitorRunService</t>
  </si>
  <si>
    <t>runScheduledScan</t>
  </si>
  <si>
    <t>Mono&lt;Void&gt; runScheduledScan()</t>
  </si>
  <si>
    <t>fixedDelayString = "${monitor.scan.interval:60000}"</t>
  </si>
  <si>
    <t>triggerManualScan</t>
  </si>
  <si>
    <t>Mono&lt;MonitorRun&gt; triggerManualScan()</t>
  </si>
  <si>
    <t>getAllRuns</t>
  </si>
  <si>
    <t>Flux&lt;MonitorRun&gt; getAllRuns()</t>
  </si>
  <si>
    <t>getRunById</t>
  </si>
  <si>
    <t>Mono&lt;MonitorRun&gt; getRunById(Long runId)</t>
  </si>
  <si>
    <t>notifyTriggerDetected</t>
  </si>
  <si>
    <t>Mono&lt;Void&gt; notifyTriggerDetected(Long customerId, Long eventId, String eventReference)</t>
  </si>
  <si>
    <t>notifyTriggerVerified</t>
  </si>
  <si>
    <t>Mono&lt;Void&gt; notifyTriggerVerified(Long customerId, Long eventId, String eventReference)</t>
  </si>
  <si>
    <t>notifyTriggerRejected</t>
  </si>
  <si>
    <t>Mono&lt;Void&gt; notifyTriggerRejected(Long customerId, Long eventId, String eventReference)</t>
  </si>
  <si>
    <t>ObservationService</t>
  </si>
  <si>
    <t>Flux&lt;ObservationResponse&gt; getAll()</t>
  </si>
  <si>
    <t>Mono&lt;ObservationResponse&gt; getById(Long observationId)</t>
  </si>
  <si>
    <t>Flux&lt;ObservationResponse&gt; getByZoneId(Long zoneId)</t>
  </si>
  <si>
    <t>Flux&lt;ObservationResponse&gt; getByMeasurementType(String value)</t>
  </si>
  <si>
    <t>Mono&lt;ObservationResponse&gt; create(CreateObservationRequest request, Long userId)</t>
  </si>
  <si>
    <t>ObservationValidationService</t>
  </si>
  <si>
    <t>getReceivedObservations</t>
  </si>
  <si>
    <t>Flux&lt;ObservationResponse&gt; getReceivedObservations()</t>
  </si>
  <si>
    <t>validateObservation</t>
  </si>
  <si>
    <t>Mono&lt;ObservationResponse&gt; validateObservation(Long observationId, Long userId)</t>
  </si>
  <si>
    <t>rejectObservation</t>
  </si>
  <si>
    <t>Mono&lt;ObservationResponse&gt; rejectObservation(Long observationId, String reason, Long userId)</t>
  </si>
  <si>
    <t>validateAllReceived</t>
  </si>
  <si>
    <t>Mono&lt;Long&gt; validateAllReceived(Long userId)</t>
  </si>
  <si>
    <t>PerilService</t>
  </si>
  <si>
    <t>Flux&lt;PerilResponse&gt; getAll()</t>
  </si>
  <si>
    <t>Flux&lt;PerilResponse&gt; getActive()</t>
  </si>
  <si>
    <t>Mono&lt;PerilResponse&gt; getById(Long perilId)</t>
  </si>
  <si>
    <t>Mono&lt;PerilResponse&gt; create(PerilRequest request,Long userId)</t>
  </si>
  <si>
    <t>Mono&lt;PerilResponse&gt; update(Long perilId,PerilRequest request,Long userId)</t>
  </si>
  <si>
    <t>Mono&lt;PerilResponse&gt; updateStatus(Long perilId,String statusValue,Long userId)</t>
  </si>
  <si>
    <t>Mono&lt;Void&gt; archive(Long perilId,Long userId)</t>
  </si>
  <si>
    <t>PolicyTriggerEligibilityService</t>
  </si>
  <si>
    <t>Mono&lt;PolicyTriggerEligibilityResponse&gt; checkEligibility(Long policyId)</t>
  </si>
  <si>
    <t>ProductTriggerSyncService</t>
  </si>
  <si>
    <t>Mono&lt;ProductTriggerSyncResult&gt; syncProductDefinition(Long productId, ProductTriggerSyncRequest request)</t>
  </si>
  <si>
    <t>TriggerDefinitionService</t>
  </si>
  <si>
    <t>Flux&lt;TriggerDefinitionResponse&gt; getAll()</t>
  </si>
  <si>
    <t>Flux&lt;TriggerDefinitionResponse&gt; getActive()</t>
  </si>
  <si>
    <t>Mono&lt;TriggerDefinitionResponse&gt; getById(Long definitionId)</t>
  </si>
  <si>
    <t>Flux&lt;TriggerDefinitionResponse&gt; getByPerilId(Long perilId)</t>
  </si>
  <si>
    <t>getByLocationZoneId</t>
  </si>
  <si>
    <t>Flux&lt;TriggerDefinitionResponse&gt; getByLocationZoneId(Long locationZoneId)</t>
  </si>
  <si>
    <t>Flux&lt;TriggerDefinitionResponse&gt; getByProductId(Long productId)</t>
  </si>
  <si>
    <t>Mono&lt;TriggerDefinitionResponse&gt; create(TriggerDefinitionRequest request, Long userId)</t>
  </si>
  <si>
    <t>Mono&lt;TriggerDefinitionResponse&gt; update(Long definitionId, TriggerDefinitionRequest request, Long userId)</t>
  </si>
  <si>
    <t>Mono&lt;TriggerDefinitionResponse&gt; updateStatus(Long definitionId, String statusValue, Long userId)</t>
  </si>
  <si>
    <t>Mono&lt;Void&gt; archive(Long definitionId,Long userId)</t>
  </si>
  <si>
    <t>TriggerEvaluationService</t>
  </si>
  <si>
    <t>Flux&lt;TriggerEvaluationResponse&gt; getAll()</t>
  </si>
  <si>
    <t>Mono&lt;TriggerEvaluationResponse&gt; getById(Long evaluationId)</t>
  </si>
  <si>
    <t>Flux&lt;TriggerEvaluationResponse&gt; getByDefinitionId(Long definitionId)</t>
  </si>
  <si>
    <t>Mono&lt;TriggerEvaluationResponse&gt; evaluate(Long definitionId, EvaluateTriggerRequest request, Long userId)</t>
  </si>
  <si>
    <t>evaluateProductOverride</t>
  </si>
  <si>
    <t>Mono&lt;TriggerEvaluationResponse&gt; evaluateProductOverride(Long productId, ProductTriggerSyncRequest productPayload, Long userId)</t>
  </si>
  <si>
    <t>TriggerEventService</t>
  </si>
  <si>
    <t>Flux&lt;TriggerEventResponse&gt; getAll()</t>
  </si>
  <si>
    <t>Flux&lt;TriggerEventResponse&gt; getByStatus(String statusValue)</t>
  </si>
  <si>
    <t>Flux&lt;TriggerEventResponse&gt; getByDefinitionId(Long definitionId)</t>
  </si>
  <si>
    <t>Flux&lt;TriggerEventResponse&gt; getByProductId(Long productId)</t>
  </si>
  <si>
    <t>Flux&lt;TriggerEventResponse&gt; getByZoneId(Long zoneId)</t>
  </si>
  <si>
    <t>Mono&lt;TriggerEventResponse&gt; getById(Long eventId)</t>
  </si>
  <si>
    <t>Mono&lt;TriggerEventResponse&gt; startValidation(Long eventId, Long userId)</t>
  </si>
  <si>
    <t>Mono&lt;TriggerEventResponse&gt; verify(Long eventId, String reviewNotes, Long userId)</t>
  </si>
  <si>
    <t>Mono&lt;TriggerEventResponse&gt; reject(Long eventId, String reviewNotes, Long userId)</t>
  </si>
  <si>
    <t>processEvent</t>
  </si>
  <si>
    <t>Mono&lt;TriggerEventResponse&gt; processEvent(Long eventId, String reviewNotes, Long userId)</t>
  </si>
  <si>
    <t>markEventProcessed</t>
  </si>
  <si>
    <t>Mono&lt;Void&gt; markEventProcessed(Long eventId)</t>
  </si>
  <si>
    <t>ZoneMeasurementService</t>
  </si>
  <si>
    <t>latestPerZone</t>
  </si>
  <si>
    <t>Flux&lt;ZoneMeasurementResponse&gt; latestPerZone()</t>
  </si>
  <si>
    <t>Mono&lt;ClaimCreationResponse&gt; createClaimsFromTriggerEvent(ClaimCreationRequest request)</t>
  </si>
  <si>
    <t>InternalNotificationClient</t>
  </si>
  <si>
    <t>createInternalNotification</t>
  </si>
  <si>
    <t>Mono&lt;NotificationResponse&gt; createInternalNotification(InternalNotificationRequest request)</t>
  </si>
  <si>
    <t>ProductTriggerClient</t>
  </si>
  <si>
    <t>notifyVerifiedTriggerEvent</t>
  </si>
  <si>
    <t>Mono&lt;Void&gt; notifyVerifiedTriggerEvent(Long productId, Long eventId)</t>
  </si>
  <si>
    <t>Mono&lt;InternalProductConfig&gt; getProduct(Long productId)</t>
  </si>
  <si>
    <t>getActivePolicies</t>
  </si>
  <si>
    <t>Flux&lt;org.example.triggerservice.dto.ActivePolicyForTriggerResponse&gt; getActivePolicies(Long productId,Long locationZoneId)</t>
  </si>
  <si>
    <t>Mono&lt;Boolean&gt; hasActivePoliciesForZone(Long zoneId)</t>
  </si>
  <si>
    <t>Flux&lt;EligiblePolicyResponse&gt; getEligiblePoliciesForEvent(Long productId,Long locationZoneId,java.time.LocalDateTime eventStart, java.time.LocalDateTime eventEnd,Long triggerEventId)</t>
  </si>
  <si>
    <t>DemoObservationGenerator</t>
  </si>
  <si>
    <t>void run(String... args)</t>
  </si>
  <si>
    <t>generateNextReading</t>
  </si>
  <si>
    <t>void generateNextReading()</t>
  </si>
  <si>
    <t>fixedDelayString="${demo.feed.interval-ms:60000}"</t>
  </si>
  <si>
    <t>TriggerDataLoader</t>
  </si>
  <si>
    <t>MetricsHandler</t>
  </si>
  <si>
    <t>metrics</t>
  </si>
  <si>
    <t>Mono&lt;ServerResponse&gt; metrics(ServerRequest request)</t>
  </si>
  <si>
    <t>PaymentHandler</t>
  </si>
  <si>
    <t>findMine</t>
  </si>
  <si>
    <t>Mono&lt;ServerResponse&gt; findMine(ServerRequest request)</t>
  </si>
  <si>
    <t>findById</t>
  </si>
  <si>
    <t>Mono&lt;ServerResponse&gt; findById(ServerRequest request)</t>
  </si>
  <si>
    <t>findAll</t>
  </si>
  <si>
    <t>Mono&lt;ServerResponse&gt; findAll(ServerRequest request)</t>
  </si>
  <si>
    <t>success</t>
  </si>
  <si>
    <t>Mono&lt;ServerResponse&gt; success(ServerRequest request)</t>
  </si>
  <si>
    <t>fail</t>
  </si>
  <si>
    <t>Mono&lt;ServerResponse&gt; fail(ServerRequest request)</t>
  </si>
  <si>
    <t>refund</t>
  </si>
  <si>
    <t>Mono&lt;ServerResponse&gt; refund(ServerRequest request)</t>
  </si>
  <si>
    <t>retry</t>
  </si>
  <si>
    <t>Mono&lt;ServerResponse&gt; retry(ServerRequest request)</t>
  </si>
  <si>
    <t>policyStatus</t>
  </si>
  <si>
    <t>Mono&lt;ServerResponse&gt; policyStatus(ServerRequest request)</t>
  </si>
  <si>
    <t>PayoutHandler</t>
  </si>
  <si>
    <t>createInternal</t>
  </si>
  <si>
    <t>Mono&lt;ServerResponse&gt; createInternal(ServerRequest request)</t>
  </si>
  <si>
    <t>findByClaim</t>
  </si>
  <si>
    <t>Mono&lt;ServerResponse&gt; findByClaim(ServerRequest request)</t>
  </si>
  <si>
    <t>PayoutReceiptHandler</t>
  </si>
  <si>
    <t>customerReceipt</t>
  </si>
  <si>
    <t>Mono&lt;ServerResponse&gt; customerReceipt(ServerRequest request)</t>
  </si>
  <si>
    <t>adminReceipt</t>
  </si>
  <si>
    <t>Mono&lt;ServerResponse&gt; adminReceipt(ServerRequest request)</t>
  </si>
  <si>
    <t>PricingRuleHandler</t>
  </si>
  <si>
    <t>QuoteHandler</t>
  </si>
  <si>
    <t>accept</t>
  </si>
  <si>
    <t>Mono&lt;ServerResponse&gt; accept(ServerRequest request)</t>
  </si>
  <si>
    <t>cancel</t>
  </si>
  <si>
    <t>Mono&lt;ServerResponse&gt; cancel(ServerRequest request)</t>
  </si>
  <si>
    <t>priceInternal</t>
  </si>
  <si>
    <t>Mono&lt;ServerResponse&gt; priceInternal(ServerRequest request)</t>
  </si>
  <si>
    <t>validateInternal</t>
  </si>
  <si>
    <t>Mono&lt;ServerResponse&gt; validateInternal(ServerRequest request)</t>
  </si>
  <si>
    <t>consumeInternal</t>
  </si>
  <si>
    <t>Mono&lt;ServerResponse&gt; consumeInternal(ServerRequest request)</t>
  </si>
  <si>
    <t>findClaim</t>
  </si>
  <si>
    <t>Mono&lt;InternalClaimResponse&gt; findClaim(Long claimId)</t>
  </si>
  <si>
    <t>DefaultPricingRuleProvisioner</t>
  </si>
  <si>
    <t>provisionMissingRules</t>
  </si>
  <si>
    <t>Mono&lt;Void&gt; provisionMissingRules()</t>
  </si>
  <si>
    <t>FinancialTransactionService</t>
  </si>
  <si>
    <t>recordPayment</t>
  </si>
  <si>
    <t>Mono&lt;FinancialTransaction&gt; recordPayment(Long customerId, Long policyId, Long quoteId, Long paymentId, BigDecimal amount, String status)</t>
  </si>
  <si>
    <t>recordRefund</t>
  </si>
  <si>
    <t>Mono&lt;FinancialTransaction&gt; recordRefund(Long customerId, Long policyId, Long paymentId, BigDecimal amount)</t>
  </si>
  <si>
    <t>recordPayout</t>
  </si>
  <si>
    <t>Mono&lt;FinancialTransaction&gt; recordPayout(Long customerId, Long policyId, Long payoutId, Long claimId, BigDecimal amount, String status)</t>
  </si>
  <si>
    <t>MetricsService</t>
  </si>
  <si>
    <t>Mono&lt;MetricsResponse&gt; metrics()</t>
  </si>
  <si>
    <t>notifyPaymentSuccess</t>
  </si>
  <si>
    <t>Mono&lt;Void&gt; notifyPaymentSuccess(Long customerId, String reference, BigDecimal amount)</t>
  </si>
  <si>
    <t>notifyPaymentFailed</t>
  </si>
  <si>
    <t>Mono&lt;Void&gt; notifyPaymentFailed(Long customerId, String reference, String reason)</t>
  </si>
  <si>
    <t>notifyPayoutProcessed</t>
  </si>
  <si>
    <t>Mono&lt;Void&gt; notifyPayoutProcessed(Long customerId, String reference, BigDecimal amount)</t>
  </si>
  <si>
    <t>notifyPayoutFailed</t>
  </si>
  <si>
    <t>Mono&lt;Void&gt; notifyPayoutFailed(Long customerId, String reference, String reason)</t>
  </si>
  <si>
    <t>notifyPaymentPending</t>
  </si>
  <si>
    <t>Mono&lt;Void&gt; notifyPaymentPending(Long customerId, String reference, BigDecimal amount)</t>
  </si>
  <si>
    <t>notifyPaymentRetry</t>
  </si>
  <si>
    <t>Mono&lt;Void&gt; notifyPaymentRetry(Long customerId, String reference, BigDecimal amount, Integer attempt)</t>
  </si>
  <si>
    <t>notifyPaymentRefunded</t>
  </si>
  <si>
    <t>Mono&lt;Void&gt; notifyPaymentRefunded(Long customerId, String reference, BigDecimal amount)</t>
  </si>
  <si>
    <t>notifyPayoutPending</t>
  </si>
  <si>
    <t>Mono&lt;Void&gt; notifyPayoutPending(Long customerId, String reference, BigDecimal amount)</t>
  </si>
  <si>
    <t>notifyPayoutRetry</t>
  </si>
  <si>
    <t>Mono&lt;Void&gt; notifyPayoutRetry(Long customerId, String reference, BigDecimal amount, Integer retryCount)</t>
  </si>
  <si>
    <t>notifyQuoteCreated</t>
  </si>
  <si>
    <t>Mono&lt;Void&gt; notifyQuoteCreated(Long customerId, String reference, BigDecimal premium, Long quoteId)</t>
  </si>
  <si>
    <t>notifyQuoteExpired</t>
  </si>
  <si>
    <t>Mono&lt;Void&gt; notifyQuoteExpired(Long customerId, String reference, Long quoteId)</t>
  </si>
  <si>
    <t>notifyQuoteConsumed</t>
  </si>
  <si>
    <t>Mono&lt;Void&gt; notifyQuoteConsumed(Long customerId, String reference, String policyNumber, Long quoteId)</t>
  </si>
  <si>
    <t>notifyPremiumDue</t>
  </si>
  <si>
    <t>Mono&lt;Void&gt; notifyPremiumDue(Long customerId, String policyNumber, BigDecimal amount, LocalDate dueDate)</t>
  </si>
  <si>
    <t>notifyPremiumOverdue</t>
  </si>
  <si>
    <t>Mono&lt;Void&gt; notifyPremiumOverdue(Long customerId, String policyNumber, BigDecimal amount, LocalDate dueDate)</t>
  </si>
  <si>
    <t>notifyRefundProcessed</t>
  </si>
  <si>
    <t>Mono&lt;Void&gt; notifyRefundProcessed(Long customerId, String reference, BigDecimal amount)</t>
  </si>
  <si>
    <t>notifyRefundFailed</t>
  </si>
  <si>
    <t>Mono&lt;Void&gt; notifyRefundFailed(Long customerId, String reference, BigDecimal amount, String reason)</t>
  </si>
  <si>
    <t>notifyReconciliationCompleted</t>
  </si>
  <si>
    <t>Mono&lt;Void&gt; notifyReconciliationCompleted(String reference)</t>
  </si>
  <si>
    <t>notifyReconciliationDiscrepancy</t>
  </si>
  <si>
    <t>Mono&lt;Void&gt; notifyReconciliationDiscrepancy(String reference, int discrepancyCount)</t>
  </si>
  <si>
    <t>notifyPricingRuleCreated</t>
  </si>
  <si>
    <t>Mono&lt;Void&gt; notifyPricingRuleCreated(Long actorId, Long productId, Long ruleId)</t>
  </si>
  <si>
    <t>notifyPricingRuleUpdated</t>
  </si>
  <si>
    <t>Mono&lt;Void&gt; notifyPricingRuleUpdated(Long actorId, Long productId, Long ruleId)</t>
  </si>
  <si>
    <t>PaymentService</t>
  </si>
  <si>
    <t>Mono&lt;PaymentResponse&gt; create(PaymentRequest request)</t>
  </si>
  <si>
    <t>Mono&lt;PaymentResponse&gt; findById(Long paymentId)</t>
  </si>
  <si>
    <t>Flux&lt;PaymentResponse&gt; findMine()</t>
  </si>
  <si>
    <t>Flux&lt;PaymentResponse&gt; findAll()</t>
  </si>
  <si>
    <t>Mono&lt;PaymentResponse&gt; success(Long paymentId, PaymentActionRequest request)</t>
  </si>
  <si>
    <t>Mono&lt;PaymentResponse&gt; fail(Long paymentId, PaymentActionRequest request)</t>
  </si>
  <si>
    <t>Mono&lt;PaymentResponse&gt; refund(Long paymentId)</t>
  </si>
  <si>
    <t>Mono&lt;PaymentResponse&gt; retry(Long paymentId)</t>
  </si>
  <si>
    <t>Mono&lt;PaymentStatusResult&gt; policyStatus(Long policyId)</t>
  </si>
  <si>
    <t>PayoutReceiptService</t>
  </si>
  <si>
    <t>receiptForCustomer</t>
  </si>
  <si>
    <t>Mono&lt;Receipt&gt; receiptForCustomer(Long payoutId)</t>
  </si>
  <si>
    <t>receiptForAdmin</t>
  </si>
  <si>
    <t>Mono&lt;Receipt&gt; receiptForAdmin(Long payoutId)</t>
  </si>
  <si>
    <t>PayoutService</t>
  </si>
  <si>
    <t>Mono&lt;PayoutResponse&gt; create(CreatePayoutRequest request)</t>
  </si>
  <si>
    <t>Mono&lt;PayoutResponse&gt; findById(Long payoutId)</t>
  </si>
  <si>
    <t>Flux&lt;PayoutResponse&gt; findMine()</t>
  </si>
  <si>
    <t>Flux&lt;PayoutResponse&gt; findAll()</t>
  </si>
  <si>
    <t>Flux&lt;PayoutResponse&gt; findByClaim(Long claimId)</t>
  </si>
  <si>
    <t>Mono&lt;PayoutResponse&gt; process(Long payoutId, PayoutActionRequest request)</t>
  </si>
  <si>
    <t>Mono&lt;PayoutResponse&gt; success(Long payoutId, PayoutActionRequest request)</t>
  </si>
  <si>
    <t>Mono&lt;PayoutResponse&gt; fail(Long payoutId, PayoutActionRequest request)</t>
  </si>
  <si>
    <t>Mono&lt;PayoutResponse&gt; retry(Long payoutId, PayoutActionRequest request)</t>
  </si>
  <si>
    <t>PricingRuleService</t>
  </si>
  <si>
    <t>Mono&lt;PricingRuleResponse&gt; create(PricingRuleRequest request)</t>
  </si>
  <si>
    <t>Flux&lt;PricingRuleResponse&gt; findAll()</t>
  </si>
  <si>
    <t>Mono&lt;PricingRuleResponse&gt; findById(Long ruleId)</t>
  </si>
  <si>
    <t>Mono&lt;PricingRuleResponse&gt; update(Long ruleId, PricingRuleRequest request)</t>
  </si>
  <si>
    <t>Mono&lt;PricingRuleResponse&gt; updateStatus(Long ruleId, UpdatePricingRuleStatusRequest request)</t>
  </si>
  <si>
    <t>Mono&lt;PricingRuleResponse&gt; archive(Long ruleId)</t>
  </si>
  <si>
    <t>ProductServiceClient</t>
  </si>
  <si>
    <t>findProduct</t>
  </si>
  <si>
    <t>Mono&lt;InternalProductResponse&gt; findProduct(Long productId)</t>
  </si>
  <si>
    <t>findAllProducts</t>
  </si>
  <si>
    <t>Flux&lt;InternalProductResponse&gt; findAllProducts()</t>
  </si>
  <si>
    <t>requireActiveProduct</t>
  </si>
  <si>
    <t>Mono&lt;Void&gt; requireActiveProduct(Long productId)</t>
  </si>
  <si>
    <t>findPolicy</t>
  </si>
  <si>
    <t>Mono&lt;InternalPolicyResponse&gt; findPolicy(Long policyId)</t>
  </si>
  <si>
    <t>QuoteService</t>
  </si>
  <si>
    <t>Mono&lt;QuoteResponse&gt; create(CreateQuoteRequest request)</t>
  </si>
  <si>
    <t>Mono&lt;InternalPricingResponse&gt; priceInternal(InternalPricingRequest request)</t>
  </si>
  <si>
    <t>Mono&lt;QuoteResponse&gt; findMine(Long quoteId)</t>
  </si>
  <si>
    <t>Flux&lt;QuoteResponse&gt; findMine()</t>
  </si>
  <si>
    <t>Mono&lt;QuoteResponse&gt; accept(Long quoteId)</t>
  </si>
  <si>
    <t>Mono&lt;QuoteResponse&gt; cancel(Long quoteId)</t>
  </si>
  <si>
    <t>Mono&lt;InternalQuoteResponse&gt; validateInternal(Long quoteId, InternalQuoteValidateRequest request)</t>
  </si>
  <si>
    <t>consume</t>
  </si>
  <si>
    <t>Mono&lt;InternalQuoteResponse&gt; consume(Long quoteId, InternalQuoteConsumeRequest request)</t>
  </si>
  <si>
    <t>findZone</t>
  </si>
  <si>
    <t>Mono&lt;ZoneDetail&gt; findZone(Long zoneId)</t>
  </si>
  <si>
    <t>requireActiveZone</t>
  </si>
  <si>
    <t>Mono&lt;Void&gt; requireActiveZone(Long zoneId)</t>
  </si>
  <si>
    <t>Scheduler</t>
  </si>
  <si>
    <t>DefaultPricingRuleScheduler</t>
  </si>
  <si>
    <t>syncDefaultRules</t>
  </si>
  <si>
    <t>void syncDefaultRules()</t>
  </si>
  <si>
    <t>initialDelayString="${financial.pricing.default-rule-initial-delay-ms:20000}", fixedDelayString="${financial.pricing.default-rule-sync-ms:60000}"</t>
  </si>
  <si>
    <t>PaymentRetryScheduler</t>
  </si>
  <si>
    <t>retryFailedPayments</t>
  </si>
  <si>
    <t>void retryFailedPayments()</t>
  </si>
  <si>
    <t>cron="0 */5 * * * *"</t>
  </si>
  <si>
    <t>PayoutRetryScheduler</t>
  </si>
  <si>
    <t>retryFailedPayouts</t>
  </si>
  <si>
    <t>void retryFailedPayouts()</t>
  </si>
  <si>
    <t>PremiumReminderScheduler</t>
  </si>
  <si>
    <t>sendPremiumReminders</t>
  </si>
  <si>
    <t>void sendPremiumReminders()</t>
  </si>
  <si>
    <t>cron="0 0 9 * * *"</t>
  </si>
  <si>
    <t>ReconciliationScheduler</t>
  </si>
  <si>
    <t>runReconciliation</t>
  </si>
  <si>
    <t>void runReconciliation()</t>
  </si>
  <si>
    <t>cron="0 30 3 * * *"</t>
  </si>
  <si>
    <t>AuditEventHandler</t>
  </si>
  <si>
    <t>Mono&lt;ServerResponse&gt; create(ServerRequest r)</t>
  </si>
  <si>
    <t>all</t>
  </si>
  <si>
    <t>Mono&lt;ServerResponse&gt; all(ServerRequest r)</t>
  </si>
  <si>
    <t>mine</t>
  </si>
  <si>
    <t>Mono&lt;ServerResponse&gt; mine(ServerRequest r)</t>
  </si>
  <si>
    <t>DeliveryAttemptHandler</t>
  </si>
  <si>
    <t>getByNotification</t>
  </si>
  <si>
    <t>Mono&lt;ServerResponse&gt; getByNotification(ServerRequest r)</t>
  </si>
  <si>
    <t>NotificationHandler</t>
  </si>
  <si>
    <t>fromTemplate</t>
  </si>
  <si>
    <t>Mono&lt;ServerResponse&gt; fromTemplate(ServerRequest r)</t>
  </si>
  <si>
    <t>batch</t>
  </si>
  <si>
    <t>Mono&lt;ServerResponse&gt; batch(ServerRequest r)</t>
  </si>
  <si>
    <t>unread</t>
  </si>
  <si>
    <t>Mono&lt;ServerResponse&gt; unread(ServerRequest r)</t>
  </si>
  <si>
    <t>count</t>
  </si>
  <si>
    <t>Mono&lt;ServerResponse&gt; count(ServerRequest r)</t>
  </si>
  <si>
    <t>stream</t>
  </si>
  <si>
    <t>Mono&lt;ServerResponse&gt; stream(ServerRequest r)</t>
  </si>
  <si>
    <t>read</t>
  </si>
  <si>
    <t>Mono&lt;ServerResponse&gt; read(ServerRequest r)</t>
  </si>
  <si>
    <t>adminRead</t>
  </si>
  <si>
    <t>Mono&lt;ServerResponse&gt; adminRead(ServerRequest r)</t>
  </si>
  <si>
    <t>adminDelete</t>
  </si>
  <si>
    <t>Mono&lt;ServerResponse&gt; adminDelete(ServerRequest r)</t>
  </si>
  <si>
    <t>readAll</t>
  </si>
  <si>
    <t>Mono&lt;ServerResponse&gt; readAll(ServerRequest r)</t>
  </si>
  <si>
    <t>delete</t>
  </si>
  <si>
    <t>Mono&lt;ServerResponse&gt; delete(ServerRequest r)</t>
  </si>
  <si>
    <t>failed</t>
  </si>
  <si>
    <t>Mono&lt;ServerResponse&gt; failed(ServerRequest r)</t>
  </si>
  <si>
    <t>byType</t>
  </si>
  <si>
    <t>Mono&lt;ServerResponse&gt; byType(ServerRequest r)</t>
  </si>
  <si>
    <t>NotificationPreferenceHandler</t>
  </si>
  <si>
    <t>upsert</t>
  </si>
  <si>
    <t>Mono&lt;ServerResponse&gt; upsert(ServerRequest r)</t>
  </si>
  <si>
    <t>myPreferences</t>
  </si>
  <si>
    <t>Mono&lt;ServerResponse&gt; myPreferences(ServerRequest r)</t>
  </si>
  <si>
    <t>NotificationTemplateHandler</t>
  </si>
  <si>
    <t>Mono&lt;ServerResponse&gt; update(ServerRequest r)</t>
  </si>
  <si>
    <t>get</t>
  </si>
  <si>
    <t>Mono&lt;ServerResponse&gt; get(ServerRequest r)</t>
  </si>
  <si>
    <t>deactivate</t>
  </si>
  <si>
    <t>Mono&lt;ServerResponse&gt; deactivate(ServerRequest r)</t>
  </si>
  <si>
    <t>activate</t>
  </si>
  <si>
    <t>Mono&lt;ServerResponse&gt; activate(ServerRequest r)</t>
  </si>
  <si>
    <t>defaults</t>
  </si>
  <si>
    <t>Mono&lt;ServerResponse&gt; defaults(ServerRequest r)</t>
  </si>
  <si>
    <t>AuditEventService</t>
  </si>
  <si>
    <t>Mono&lt;AuditEventResponse&gt; create(InternalAuditEventRequest r)</t>
  </si>
  <si>
    <t>Flux&lt;AuditEventResponse&gt; all()</t>
  </si>
  <si>
    <t>Flux&lt;AuditEventResponse&gt; all(Long actorUserId, String actorRole)</t>
  </si>
  <si>
    <t>Flux&lt;AuditEventResponse&gt; mine()</t>
  </si>
  <si>
    <t>DeliveryAttemptService</t>
  </si>
  <si>
    <t>recordAttempt</t>
  </si>
  <si>
    <t>Mono&lt;DeliveryAttempt&gt; recordAttempt(Long notificationId, DeliveryChannel channel, DeliveryStatus status, String errorMessage)</t>
  </si>
  <si>
    <t>getByNotificationId</t>
  </si>
  <si>
    <t>Flux&lt;DeliveryAttemptResponse&gt; getByNotificationId(Long notificationId)</t>
  </si>
  <si>
    <t>EmailDeliveryService</t>
  </si>
  <si>
    <t>sendEmail</t>
  </si>
  <si>
    <t>Mono&lt;Void&gt; sendEmail(String recipient, String subject, String body)</t>
  </si>
  <si>
    <t>NotificationDeliveryService</t>
  </si>
  <si>
    <t>dispatch</t>
  </si>
  <si>
    <t>Mono&lt;Notification&gt; dispatch(Notification n)</t>
  </si>
  <si>
    <t>NotificationPreferenceService</t>
  </si>
  <si>
    <t>Mono&lt;NotificationPreferenceResponse&gt; upsert(UpsertNotificationPreferenceRequest r)</t>
  </si>
  <si>
    <t>Flux&lt;NotificationPreferenceResponse&gt; myPreferences()</t>
  </si>
  <si>
    <t>isEnabled</t>
  </si>
  <si>
    <t>Mono&lt;Boolean&gt; isEnabled(Long userId, NotificationType type, String channel)</t>
  </si>
  <si>
    <t>retryFailedDeliveries</t>
  </si>
  <si>
    <t>void retryFailedDeliveries()</t>
  </si>
  <si>
    <t>cron = "0 */5 * * * *"</t>
  </si>
  <si>
    <t>cleanupOldNotifications</t>
  </si>
  <si>
    <t>void cleanupOldNotifications()</t>
  </si>
  <si>
    <t>cron = "0 0 3 * * *"</t>
  </si>
  <si>
    <t>Mono&lt;NotificationResponse&gt; create(InternalNotificationRequest r)</t>
  </si>
  <si>
    <t>createForChannels</t>
  </si>
  <si>
    <t>Flux&lt;NotificationResponse&gt; createForChannels(InternalNotificationRequest r)</t>
  </si>
  <si>
    <t>sendFromTemplate</t>
  </si>
  <si>
    <t>Flux&lt;NotificationResponse&gt; sendFromTemplate(SendFromTemplateRequest r)</t>
  </si>
  <si>
    <t>Flux&lt;NotificationResponse&gt; batch(List&lt;InternalNotificationRequest&gt; requests)</t>
  </si>
  <si>
    <t>Flux&lt;NotificationResponse&gt; mine(boolean unreadOnly)</t>
  </si>
  <si>
    <t>Flux&lt;NotificationResponse&gt; mine(NotificationQuery q)</t>
  </si>
  <si>
    <t>Flux&lt;NotificationResponse&gt; stream()</t>
  </si>
  <si>
    <t>unreadCount</t>
  </si>
  <si>
    <t>Mono&lt;UnreadCountResponse&gt; unreadCount()</t>
  </si>
  <si>
    <t>createForChannelsAndPublish</t>
  </si>
  <si>
    <t>Flux&lt;NotificationResponse&gt; createForChannelsAndPublish(InternalNotificationRequest r)</t>
  </si>
  <si>
    <t>markRead</t>
  </si>
  <si>
    <t>Mono&lt;NotificationResponse&gt; markRead(Long id)</t>
  </si>
  <si>
    <t>markAllRead</t>
  </si>
  <si>
    <t>Mono&lt;MessageResponse&gt; markAllRead()</t>
  </si>
  <si>
    <t>Mono&lt;MessageResponse&gt; delete(Long id)</t>
  </si>
  <si>
    <t>adminMarkRead</t>
  </si>
  <si>
    <t>Mono&lt;NotificationResponse&gt; adminMarkRead(Long id)</t>
  </si>
  <si>
    <t>Mono&lt;MessageResponse&gt; adminDelete(Long id)</t>
  </si>
  <si>
    <t>Flux&lt;NotificationResponse&gt; all()</t>
  </si>
  <si>
    <t>allPage</t>
  </si>
  <si>
    <t>Flux&lt;NotificationResponse&gt; allPage(int page, int size)</t>
  </si>
  <si>
    <t>Flux&lt;NotificationResponse&gt; failed()</t>
  </si>
  <si>
    <t>Flux&lt;NotificationResponse&gt; byType(NotificationType type)</t>
  </si>
  <si>
    <t>byTypePage</t>
  </si>
  <si>
    <t>Flux&lt;NotificationResponse&gt; byTypePage(NotificationType type, int page, int size)</t>
  </si>
  <si>
    <t>NotificationStream</t>
  </si>
  <si>
    <t>publish</t>
  </si>
  <si>
    <t>void publish(NotificationResponse n)</t>
  </si>
  <si>
    <t>asFlux</t>
  </si>
  <si>
    <t>Flux&lt;NotificationResponse&gt; asFlux()</t>
  </si>
  <si>
    <t>NotificationTemplateService</t>
  </si>
  <si>
    <t>Mono&lt;NotificationTemplateResponse&gt; create(CreateNotificationTemplateRequest r)</t>
  </si>
  <si>
    <t>Mono&lt;NotificationTemplateResponse&gt; update(Long id, CreateNotificationTemplateRequest r)</t>
  </si>
  <si>
    <t>Mono&lt;NotificationTemplateResponse&gt; get(Long id)</t>
  </si>
  <si>
    <t>Flux&lt;NotificationTemplateResponse&gt; all()</t>
  </si>
  <si>
    <t>Mono&lt;Void&gt; deactivate(Long id)</t>
  </si>
  <si>
    <t>Mono&lt;Void&gt; activate(Long id)</t>
  </si>
  <si>
    <t>Flux&lt;NotificationTemplateResponse&gt; defaults()</t>
  </si>
  <si>
    <t>getDefaultTemplate</t>
  </si>
  <si>
    <t>Mono&lt;NotificationTemplate&gt; getDefaultTemplate(NotificationType type)</t>
  </si>
  <si>
    <t>findByCode</t>
  </si>
  <si>
    <t>Mono&lt;NotificationTemplate&gt; findByCode(String templateCode)</t>
  </si>
  <si>
    <t>findByType</t>
  </si>
  <si>
    <t>Mono&lt;NotificationTemplate&gt; findByType(NotificationType type)</t>
  </si>
  <si>
    <t>SmsDeliveryService</t>
  </si>
  <si>
    <t>sendSms</t>
  </si>
  <si>
    <t>Mono&lt;Void&gt; sendSms(String phoneNumber, String text)</t>
  </si>
  <si>
    <t>NotificationTemplateDataLoader</t>
  </si>
  <si>
    <t>Synchronous Service-to-Service Calls</t>
  </si>
  <si>
    <t>All via @LoadBalanced WebClient resolving Eureka names; header X-Gateway-Key sent on every call.</t>
  </si>
  <si>
    <t>Caller service</t>
  </si>
  <si>
    <t>Caller class.method</t>
  </si>
  <si>
    <t>Client method</t>
  </si>
  <si>
    <t>Target URL</t>
  </si>
  <si>
    <t>Target service</t>
  </si>
  <si>
    <t>Target handler -&gt; service</t>
  </si>
  <si>
    <t>Purpose</t>
  </si>
  <si>
    <t>Failure handling</t>
  </si>
  <si>
    <t>ISC-01</t>
  </si>
  <si>
    <t>Auth</t>
  </si>
  <si>
    <t>AuthService / PasswordResetService / UserProfileService</t>
  </si>
  <si>
    <t>NotificationServiceClient.audit()</t>
  </si>
  <si>
    <t>http://NOTIFICATION-SERVICE/internal/audit-events</t>
  </si>
  <si>
    <t>Notification</t>
  </si>
  <si>
    <t>AuditEventHandler.create -&gt; AuditEventService.create()</t>
  </si>
  <si>
    <t>Audit USER_REGISTERED, USER_LOGIN, PROFILE_UPDATED, password reset, status change</t>
  </si>
  <si>
    <t>onErrorResume -&gt; ignored</t>
  </si>
  <si>
    <t>ISC-02</t>
  </si>
  <si>
    <t>Product</t>
  </si>
  <si>
    <t>PolicyService.createApplication (validateQuoteIfPresent)</t>
  </si>
  <si>
    <t>FinancialServiceClient.validateQuote()</t>
  </si>
  <si>
    <t>http://FINANCIAL-SERVICE/internal/financial/quotes/{quoteId}/validate</t>
  </si>
  <si>
    <t>Financial</t>
  </si>
  <si>
    <t>QuoteHandler.validateInternal -&gt; QuoteService.validateInternal()</t>
  </si>
  <si>
    <t>Validate quote matches application; returns premium</t>
  </si>
  <si>
    <t>Error -&gt; application rejected (ValidationException)</t>
  </si>
  <si>
    <t>ISC-03</t>
  </si>
  <si>
    <t>PolicyService.resolvePremium</t>
  </si>
  <si>
    <t>FinancialServiceClient.calculatePremium()</t>
  </si>
  <si>
    <t>http://FINANCIAL-SERVICE/internal/financial/pricing/calculate</t>
  </si>
  <si>
    <t>QuoteHandler.priceInternal -&gt; QuoteService.priceInternal()</t>
  </si>
  <si>
    <t>Price application without quote</t>
  </si>
  <si>
    <t>onErrorResume -&gt; empty -&gt; flat temporary premium</t>
  </si>
  <si>
    <t>ISC-04</t>
  </si>
  <si>
    <t>PolicyService.savePendingApplication (consumeQuoteIfPresent)</t>
  </si>
  <si>
    <t>FinancialServiceClient.consumeQuote()</t>
  </si>
  <si>
    <t>http://FINANCIAL-SERVICE/internal/financial/quotes/{quoteId}/consume</t>
  </si>
  <si>
    <t>QuoteHandler.consumeInternal -&gt; QuoteService.consume()</t>
  </si>
  <si>
    <t>Bind quote to policy (CONSUMED)</t>
  </si>
  <si>
    <t>Propagates error</t>
  </si>
  <si>
    <t>ISC-05</t>
  </si>
  <si>
    <t>PolicyService.getActiveZones / PolicyHandler.getActiveZones</t>
  </si>
  <si>
    <t>TriggerServiceClient.getActiveZonesList() / getActiveZones()</t>
  </si>
  <si>
    <t>http://TRIGGER-SERVICE/internal/triggers/zones/active</t>
  </si>
  <si>
    <t>Trigger</t>
  </si>
  <si>
    <t>LocationZoneHandler.getInternalActive -&gt; LocationZoneService.getActiveInternal()</t>
  </si>
  <si>
    <t>Zones for policy form</t>
  </si>
  <si>
    <t>ISC-06</t>
  </si>
  <si>
    <t>PolicyCertificateService.forCustomer / forStaff</t>
  </si>
  <si>
    <t>TriggerServiceClient.getZoneById()</t>
  </si>
  <si>
    <t>http://TRIGGER-SERVICE/internal/triggers/zones/{zoneId}</t>
  </si>
  <si>
    <t>LocationZoneHandler.getInternalById -&gt; LocationZoneService.getInternalById()</t>
  </si>
  <si>
    <t>Zone name on certificate PDF</t>
  </si>
  <si>
    <t>ISC-07</t>
  </si>
  <si>
    <t>ProductService.getMeasurementStatus / getPublicMeasurementStatus</t>
  </si>
  <si>
    <t>TriggerServiceClient.getCurrentMeasurements()</t>
  </si>
  <si>
    <t>http://TRIGGER-SERVICE/internal/triggers/measurements/current</t>
  </si>
  <si>
    <t>MeasurementHandler.getCurrentMeasurementsInternal -&gt; MeasurementService.getCurrentMeasurements()</t>
  </si>
  <si>
    <t>Measurement console values</t>
  </si>
  <si>
    <t>ISC-08</t>
  </si>
  <si>
    <t>ProductService.createCustomerDefinedProduct / syncTrigger -&gt; syncDefinition</t>
  </si>
  <si>
    <t>TriggerServiceClient.syncProductDefinition()</t>
  </si>
  <si>
    <t>http://TRIGGER-SERVICE/internal/triggers/products/{productId}/definition</t>
  </si>
  <si>
    <t>TriggerDefinitionHandler.syncProductDefinition -&gt; ProductTriggerSyncService.syncProductDefinition()</t>
  </si>
  <si>
    <t>Mirror product trigger as per-zone trigger definitions</t>
  </si>
  <si>
    <t>onErrorResume -&gt; product triggerSyncStatus=FAILED</t>
  </si>
  <si>
    <t>ISC-09</t>
  </si>
  <si>
    <t>ProductService.processVerifiedEvent -&gt; fetchAndCreateClaimsForEligiblePolicies</t>
  </si>
  <si>
    <t>TriggerServiceClient.getPolicyEligibility()</t>
  </si>
  <si>
    <t>http://TRIGGER-SERVICE/internal/triggers/policy/{policyId}/eligibility</t>
  </si>
  <si>
    <t>PolicyTriggerEligibilityHandler.checkEligibility -&gt; PolicyTriggerEligibilityService.checkEligibility()</t>
  </si>
  <si>
    <t>Per ACTIVE policy: is it eligible for the verified event?</t>
  </si>
  <si>
    <t>onErrorResume -&gt; 0 claims for that policy</t>
  </si>
  <si>
    <t>ISC-10</t>
  </si>
  <si>
    <t>ProductService.fetchAndCreateClaimsForEligiblePolicies</t>
  </si>
  <si>
    <t>ClaimsServiceClient.createInternalClaim()</t>
  </si>
  <si>
    <t>http://CLAIMS-SERVICE/internal/claims</t>
  </si>
  <si>
    <t>Claims</t>
  </si>
  <si>
    <t>ClaimHandler.createInternalClaim -&gt; ClaimService.createInternalClaim()</t>
  </si>
  <si>
    <t>Create automatic claim for eligible policy</t>
  </si>
  <si>
    <t>onErrorResume -&gt; 0</t>
  </si>
  <si>
    <t>ISC-11</t>
  </si>
  <si>
    <t>NotificationService (product)</t>
  </si>
  <si>
    <t>NotificationServiceClient.sendNotification() / sendAuditEvent()</t>
  </si>
  <si>
    <t>http://NOTIFICATION-SERVICE/internal/notifications | /internal/audit-events</t>
  </si>
  <si>
    <t>NotificationHandler.create / AuditEventHandler.create</t>
  </si>
  <si>
    <t>POLICY_*, PRODUCT_* notifications; audit</t>
  </si>
  <si>
    <t>ISC-12</t>
  </si>
  <si>
    <t>ClaimService.getPolicy (createClaim, createInternalClaim)</t>
  </si>
  <si>
    <t>WebClient (inline)</t>
  </si>
  <si>
    <t>http://PRODUCT-SERVICE/internal/policies/{id}</t>
  </si>
  <si>
    <t>PolicyHandler.getInternalPolicy -&gt; PolicyService.getInternalPolicy()</t>
  </si>
  <si>
    <t>Load policy + snapshot to validate claim</t>
  </si>
  <si>
    <t>404 -&gt; NotFound; other -&gt; DependentServiceException</t>
  </si>
  <si>
    <t>ISC-13</t>
  </si>
  <si>
    <t>ClaimService.validateTriggerEligibility / createInternalClaim</t>
  </si>
  <si>
    <t>TriggerEligibilityClient.getEligibility()</t>
  </si>
  <si>
    <t>PolicyTriggerEligibilityHandler.checkEligibility</t>
  </si>
  <si>
    <t>Confirm verified event applies to policy</t>
  </si>
  <si>
    <t>Propagates</t>
  </si>
  <si>
    <t>ISC-14</t>
  </si>
  <si>
    <t>ClaimHandler.approveClaim -&gt; ClaimService.requestPayout</t>
  </si>
  <si>
    <t>FinancialServiceClient.createPayoutForClaim()</t>
  </si>
  <si>
    <t>http://FINANCIAL-SERVICE/internal/financial/payouts</t>
  </si>
  <si>
    <t>PayoutHandler.createInternal -&gt; PayoutService.create()</t>
  </si>
  <si>
    <t>Create PENDING payout after approval</t>
  </si>
  <si>
    <t>onErrorResume -&gt; silently ignored</t>
  </si>
  <si>
    <t>ISC-15</t>
  </si>
  <si>
    <t>NotificationService (claims)</t>
  </si>
  <si>
    <t>CLAIM_* notifications; audit</t>
  </si>
  <si>
    <t>onErrorResume</t>
  </si>
  <si>
    <t>ISC-16</t>
  </si>
  <si>
    <t>MeasurementService.processNewMeasurement</t>
  </si>
  <si>
    <t>ProductTriggerClient.getProduct()</t>
  </si>
  <si>
    <t>http://PRODUCT-SERVICE/internal/products/{productId}</t>
  </si>
  <si>
    <t>ProductHandler.getInternalProduct -&gt; ProductService.getInternalProduct()</t>
  </si>
  <si>
    <t>Product trigger config for measurement</t>
  </si>
  <si>
    <t>404 -&gt; NotFound</t>
  </si>
  <si>
    <t>ISC-17</t>
  </si>
  <si>
    <t>ProductTriggerClient.getActivePolicies()</t>
  </si>
  <si>
    <t>http://PRODUCT-SERVICE/internal/policies/active-for-trigger?productId&amp;locationZoneId</t>
  </si>
  <si>
    <t>InternalPolicyHandler.getEligiblePolicies -&gt; ProductService.getEligiblePoliciesForEvent()</t>
  </si>
  <si>
    <t>ACTIVE policies + snapshots to compare</t>
  </si>
  <si>
    <t>ISC-18</t>
  </si>
  <si>
    <t>MeasurementService.buildProcessingResult</t>
  </si>
  <si>
    <t>ClaimsServiceClient.createClaimsFromTriggerEvent()</t>
  </si>
  <si>
    <t>http://CLAIMS-SERVICE/internal/claims/from-trigger-event</t>
  </si>
  <si>
    <t>ClaimHandler.createClaimsFromTriggerEvent -&gt; ClaimService.createClaimsFromTriggerEvent()</t>
  </si>
  <si>
    <t>Bulk automatic claims for matched policies</t>
  </si>
  <si>
    <t>ISC-19</t>
  </si>
  <si>
    <t>DemoObservationService.processVerifiedEvent</t>
  </si>
  <si>
    <t>ProductTriggerClient.getEligiblePoliciesForEvent()</t>
  </si>
  <si>
    <t>http://PRODUCT-SERVICE/internal/policies/active-for-trigger</t>
  </si>
  <si>
    <t>InternalPolicyHandler.getEligiblePolicies</t>
  </si>
  <si>
    <t>Eligible policies for demo event window</t>
  </si>
  <si>
    <t>ISC-20</t>
  </si>
  <si>
    <t>DemoObservationService.createAutomaticClaims</t>
  </si>
  <si>
    <t>ClaimHandler.createClaimsFromTriggerEvent</t>
  </si>
  <si>
    <t>Bulk automatic claims</t>
  </si>
  <si>
    <t>ISC-21</t>
  </si>
  <si>
    <t>InternalNotificationClient.createInternalNotification()</t>
  </si>
  <si>
    <t>http://NOTIFICATION-SERVICE/internal/notifications</t>
  </si>
  <si>
    <t>NotificationHandler.create</t>
  </si>
  <si>
    <t>AUTOMATIC_CLAIM_CREATED per customer (fire-and-forget subscribe)</t>
  </si>
  <si>
    <t>Not awaited</t>
  </si>
  <si>
    <t>ISC-22</t>
  </si>
  <si>
    <t>TriggerEventService.verify</t>
  </si>
  <si>
    <t>ProductTriggerClient.notifyVerifiedTriggerEvent()</t>
  </si>
  <si>
    <t>http://PRODUCT-SERVICE/internal/products/verified-event</t>
  </si>
  <si>
    <t>ProductHandler.processVerifiedEvent -&gt; ProductService.processVerifiedEvent()</t>
  </si>
  <si>
    <t>Kick off automatic claims for verified event</t>
  </si>
  <si>
    <t>ISC-23</t>
  </si>
  <si>
    <t>LocationZoneService.archive</t>
  </si>
  <si>
    <t>ProductTriggerClient.hasActivePoliciesForZone()</t>
  </si>
  <si>
    <t>http://PRODUCT-SERVICE/internal/policies/zone/{zoneId}/has-active</t>
  </si>
  <si>
    <t>InternalPolicyHandler.hasActivePoliciesForZone -&gt; ProductService.hasActivePoliciesForZone()</t>
  </si>
  <si>
    <t>Block archiving zones with policies</t>
  </si>
  <si>
    <t>ISC-24</t>
  </si>
  <si>
    <t>PolicyTriggerEligibilityService.getPolicy</t>
  </si>
  <si>
    <t>http://PRODUCT-SERVICE/internal/policies/{policyId}</t>
  </si>
  <si>
    <t>PolicyHandler.getInternalPolicy</t>
  </si>
  <si>
    <t>Policy + snapshot for eligibility</t>
  </si>
  <si>
    <t>ISC-25</t>
  </si>
  <si>
    <t>NotificationService (trigger)</t>
  </si>
  <si>
    <t>TRIGGER_* notifications; audit (zones, perils, measurements, events)</t>
  </si>
  <si>
    <t>ISC-26</t>
  </si>
  <si>
    <t>QuoteService.create / PricingRuleService.create,update</t>
  </si>
  <si>
    <t>ProductServiceClient.findProduct() / requireActiveProduct()</t>
  </si>
  <si>
    <t>ProductHandler.getInternalProduct</t>
  </si>
  <si>
    <t>Product limits &amp; status</t>
  </si>
  <si>
    <t>ISC-27</t>
  </si>
  <si>
    <t>DefaultPricingRuleProvisioner.provisionMissingRules</t>
  </si>
  <si>
    <t>ProductServiceClient.findAllProducts()</t>
  </si>
  <si>
    <t>http://PRODUCT-SERVICE/internal/products</t>
  </si>
  <si>
    <t>ProductHandler.getInternalProducts</t>
  </si>
  <si>
    <t>Products lacking pricing rule</t>
  </si>
  <si>
    <t>ISC-28</t>
  </si>
  <si>
    <t>PaymentService.create / PayoutReceiptService</t>
  </si>
  <si>
    <t>ProductServiceClient.findPolicy()</t>
  </si>
  <si>
    <t>Ownership + premium; receipt details</t>
  </si>
  <si>
    <t>ISC-29</t>
  </si>
  <si>
    <t>QuoteService.create / PricingRuleService</t>
  </si>
  <si>
    <t>TriggerServiceClient.requireActiveZone() (findZone)</t>
  </si>
  <si>
    <t>LocationZoneHandler.getInternalById</t>
  </si>
  <si>
    <t>Zone must be ACTIVE</t>
  </si>
  <si>
    <t>Error -&gt; validation failure</t>
  </si>
  <si>
    <t>ISC-30</t>
  </si>
  <si>
    <t>PayoutService.success</t>
  </si>
  <si>
    <t>TriggerServiceClient.markEventProcessed()</t>
  </si>
  <si>
    <t>http://TRIGGER-SERVICE/internal/triggers/events/{eventId}/processed</t>
  </si>
  <si>
    <t>TriggerEventHandler.markProcessed -&gt; TriggerEventService.markEventProcessed()</t>
  </si>
  <si>
    <t>Close trigger event after payout</t>
  </si>
  <si>
    <t>ISC-31</t>
  </si>
  <si>
    <t>PayoutService.create</t>
  </si>
  <si>
    <t>ClaimsServiceClient.findClaim()</t>
  </si>
  <si>
    <t>http://CLAIMS-SERVICE/internal/claims/{claimId}</t>
  </si>
  <si>
    <t>ClaimHandler.getInternalClaim -&gt; ClaimService.getInternalClaim()</t>
  </si>
  <si>
    <t>Approved amount &amp; claim details</t>
  </si>
  <si>
    <t>ISC-32</t>
  </si>
  <si>
    <t>NotificationService (financial) + schedulers</t>
  </si>
  <si>
    <t>PAYMENT_*, PAYOUT_*, QUOTE_*, PREMIUM_*, RECONCILIATION_*, PRICING_RULE_*</t>
  </si>
  <si>
    <t>Dependency matrix (count of call paths: row = caller, column = target)</t>
  </si>
  <si>
    <t>Caller \ Target</t>
  </si>
  <si>
    <t>Data Model - Tables &amp; Enumerations per Service</t>
  </si>
  <si>
    <t>Kind</t>
  </si>
  <si>
    <t>Table name</t>
  </si>
  <si>
    <t>Model class</t>
  </si>
  <si>
    <t>Values</t>
  </si>
  <si>
    <t>Table</t>
  </si>
  <si>
    <t>addresses</t>
  </si>
  <si>
    <t>Address</t>
  </si>
  <si>
    <t>Enum</t>
  </si>
  <si>
    <t>CustomerSegment</t>
  </si>
  <si>
    <t>INDIVIDUAL, FARMER, SMALL_BUSINESS, ENTERPRISE</t>
  </si>
  <si>
    <t>email_verification_tokens</t>
  </si>
  <si>
    <t>EmailVerificationToken</t>
  </si>
  <si>
    <t>password_reset_tokens</t>
  </si>
  <si>
    <t>PasswordResetToken</t>
  </si>
  <si>
    <t>refresh_tokens</t>
  </si>
  <si>
    <t>RefreshToken</t>
  </si>
  <si>
    <t>roles</t>
  </si>
  <si>
    <t>Role</t>
  </si>
  <si>
    <t>Session</t>
  </si>
  <si>
    <t>users_credentials</t>
  </si>
  <si>
    <t>UserCredential</t>
  </si>
  <si>
    <t>user_profiles</t>
  </si>
  <si>
    <t>UserProfile</t>
  </si>
  <si>
    <t>user_roles</t>
  </si>
  <si>
    <t>UserRole</t>
  </si>
  <si>
    <t>UserStatus</t>
  </si>
  <si>
    <t>ACTIVE, SUSPENDED, INACTIVE</t>
  </si>
  <si>
    <t>AggregationType</t>
  </si>
  <si>
    <t>SUM, AVERAGE, MIN, MAX, LATEST</t>
  </si>
  <si>
    <t>ComparisonOperator</t>
  </si>
  <si>
    <t>GREATER_THAN, GREATER_THAN_OR_EQUAL, LESS_THAN, LESS_THAN_OR_EQUAL, EQUAL</t>
  </si>
  <si>
    <t>coverages</t>
  </si>
  <si>
    <t>Coverage</t>
  </si>
  <si>
    <t>MeasurementType</t>
  </si>
  <si>
    <t>RAINFALL, WATER_LEVEL, TEMPERATURE, WIND_SPEED, HUMIDITY, SOIL_MOISTURE, OTHER</t>
  </si>
  <si>
    <t>MeasurementUnit</t>
  </si>
  <si>
    <t>MM, CM, METER, CELSIUS, KELVIN, KM_PER_HOUR, METERS_PER_SECOND, PERCENTAGE, OTHER</t>
  </si>
  <si>
    <t>PerilType</t>
  </si>
  <si>
    <t>EXCESS_RAINFALL, FLOOD, DROUGHT, EXTREME_TEMPERATURE, CYCLONE, HIGH_WIND, OTHER</t>
  </si>
  <si>
    <t>policies</t>
  </si>
  <si>
    <t>Policy</t>
  </si>
  <si>
    <t>PolicyStatus</t>
  </si>
  <si>
    <t>PENDING, ACTIVE, REJECTED, CANCELLED, EXPIRED</t>
  </si>
  <si>
    <t>policy_status_history</t>
  </si>
  <si>
    <t>PolicyStatusHistory</t>
  </si>
  <si>
    <t>policy_trigger_snapshots</t>
  </si>
  <si>
    <t>PolicyTriggerSnapshot</t>
  </si>
  <si>
    <t>products</t>
  </si>
  <si>
    <t>ProductCategory</t>
  </si>
  <si>
    <t>WEATHER, FLOOD, AGRICULTURE, BUSINESS_INTERRUPTION, TRAVEL, CYCLONE, OTHER</t>
  </si>
  <si>
    <t>ProductStatus</t>
  </si>
  <si>
    <t>DRAFT, ACTIVE, INACTIVE, ARCHIVED</t>
  </si>
  <si>
    <t>product_threshold_history</t>
  </si>
  <si>
    <t>ProductThresholdHistory</t>
  </si>
  <si>
    <t>TriggerSyncStatus</t>
  </si>
  <si>
    <t>PENDING, SYNCED, FAILED</t>
  </si>
  <si>
    <t>claims</t>
  </si>
  <si>
    <t>Claim</t>
  </si>
  <si>
    <t>claim_documents</t>
  </si>
  <si>
    <t>ClaimDocument</t>
  </si>
  <si>
    <t>ClaimSource</t>
  </si>
  <si>
    <t>AUTO_TRIGGERED, MANUAL_EXCEPTION</t>
  </si>
  <si>
    <t>ClaimStatus</t>
  </si>
  <si>
    <t>SUBMITTED, UNDER_REVIEW, APPROVED, SETTLED, REJECTED, CANCELLED</t>
  </si>
  <si>
    <t>claim_timeline</t>
  </si>
  <si>
    <t>ClaimTimeline</t>
  </si>
  <si>
    <t>TriggerDetectionStatus</t>
  </si>
  <si>
    <t>DETECTED, NOT_DETECTED, UNDER_INVESTIGATION, CONFIRMED_MANUALLY, NOT_CONFIRMED</t>
  </si>
  <si>
    <t>SUM, AVERAGE, MINIMUM, MAXIMUM, LATEST</t>
  </si>
  <si>
    <t>current_measurements</t>
  </si>
  <si>
    <t>CurrentMeasurement</t>
  </si>
  <si>
    <t>idempotency_records</t>
  </si>
  <si>
    <t>IdempotencyRecord</t>
  </si>
  <si>
    <t>location_zones</t>
  </si>
  <si>
    <t>LocationZone</t>
  </si>
  <si>
    <t>LocationZoneStatus</t>
  </si>
  <si>
    <t>ACTIVE, INACTIVE, ARCHIVED</t>
  </si>
  <si>
    <t>RAINFALL, TEMPERATURE, WIND_SPEED, HUMIDITY, RIVER_LEVEL, SOIL_MOISTURE, OTHER</t>
  </si>
  <si>
    <t>MM, CM, CELSIUS, KELVIN, KM_PER_HOUR, METERS_PER_SECOND, PERCENTAGE, METER, OTHER</t>
  </si>
  <si>
    <t>monitor_checkpoints</t>
  </si>
  <si>
    <t>MonitorCheckpoint</t>
  </si>
  <si>
    <t>monitor_runs</t>
  </si>
  <si>
    <t>MonitorRun</t>
  </si>
  <si>
    <t>MonitorRunStatus</t>
  </si>
  <si>
    <t>RUNNING, COMPLETED, FAILED</t>
  </si>
  <si>
    <t>observations</t>
  </si>
  <si>
    <t>Observation</t>
  </si>
  <si>
    <t>ObservationSource</t>
  </si>
  <si>
    <t>MOCK, MANUAL, WEATHER_API, SENSOR</t>
  </si>
  <si>
    <t>ObservationStatus</t>
  </si>
  <si>
    <t>RECEIVED, VALIDATED, REJECTED</t>
  </si>
  <si>
    <t>perils</t>
  </si>
  <si>
    <t>Peril</t>
  </si>
  <si>
    <t>PerilStatus</t>
  </si>
  <si>
    <t>trigger_definitions</t>
  </si>
  <si>
    <t>TriggerDefinition</t>
  </si>
  <si>
    <t>TriggerDefinitionStatus</t>
  </si>
  <si>
    <t>trigger_evaluations</t>
  </si>
  <si>
    <t>TriggerEvaluation</t>
  </si>
  <si>
    <t>TriggerEvaluationResult</t>
  </si>
  <si>
    <t>MATCHED, NOT_MATCHED, INSUFFICIENT_OBSERVATIONS</t>
  </si>
  <si>
    <t>trigger_events</t>
  </si>
  <si>
    <t>TriggerEvent</t>
  </si>
  <si>
    <t>TriggerEventStatus</t>
  </si>
  <si>
    <t>DETECTED, UNDER_VALIDATION, VERIFIED, REJECTED, PROCESSED</t>
  </si>
  <si>
    <t>financial_transactions</t>
  </si>
  <si>
    <t>FinancialTransaction</t>
  </si>
  <si>
    <t>payments</t>
  </si>
  <si>
    <t>Payment</t>
  </si>
  <si>
    <t>PaymentMethod</t>
  </si>
  <si>
    <t>MOCK_CARD, MOCK_BANK_TRANSFER, MOCK_UPI</t>
  </si>
  <si>
    <t>PaymentStatus</t>
  </si>
  <si>
    <t>PENDING, SUCCESS, FAILED, REFUNDED</t>
  </si>
  <si>
    <t>payouts</t>
  </si>
  <si>
    <t>Payout</t>
  </si>
  <si>
    <t>PayoutStatus</t>
  </si>
  <si>
    <t>PENDING, PROCESSING, SUCCESS, FAILED</t>
  </si>
  <si>
    <t>pricing_rules</t>
  </si>
  <si>
    <t>PricingRule</t>
  </si>
  <si>
    <t>PricingRuleStatus</t>
  </si>
  <si>
    <t>quotes</t>
  </si>
  <si>
    <t>Quote</t>
  </si>
  <si>
    <t>QuoteStatus</t>
  </si>
  <si>
    <t>CREATED, ACCEPTED, EXPIRED, CANCELLED, CONSUMED</t>
  </si>
  <si>
    <t>reconciliation_records</t>
  </si>
  <si>
    <t>ReconciliationRecord</t>
  </si>
  <si>
    <t>audit_events</t>
  </si>
  <si>
    <t>AuditEvent</t>
  </si>
  <si>
    <t>Type</t>
  </si>
  <si>
    <t>AuditEventType</t>
  </si>
  <si>
    <t>(class constants / not a table)</t>
  </si>
  <si>
    <t>default_templates</t>
  </si>
  <si>
    <t>DefaultTemplate</t>
  </si>
  <si>
    <t>delivery_attempts</t>
  </si>
  <si>
    <t>DeliveryAttempt</t>
  </si>
  <si>
    <t>DeliveryChannel</t>
  </si>
  <si>
    <t>IN_APP</t>
  </si>
  <si>
    <t>DeliveryStatus</t>
  </si>
  <si>
    <t>CREATED</t>
  </si>
  <si>
    <t>notifications</t>
  </si>
  <si>
    <t>notification_preferences</t>
  </si>
  <si>
    <t>NotificationPreference</t>
  </si>
  <si>
    <t>notification_templates</t>
  </si>
  <si>
    <t>NotificationTemplate</t>
  </si>
  <si>
    <t>NotificationType</t>
  </si>
  <si>
    <t>POLICY_SUBMITTED, POLICY_APPROVED, POLICY_REJECTED, POLICY_CANCELLED, POLICY_EXPIRED, POLICY_RENEWAL_DUE, POLICY_DOCUMENT_REQUESTED, PRODUCT_CREATED, PRODUCT_UPDATED, CLAIM_SUBMITTED, CLAIM_UNDER_REVIEW, CLAIM_APPROVED, CLAIM_REJECTED, CLAIM_CANCELLED, CLAIM_SETTLED, MANUAL_CLAIM_SUBMITTED, MANUAL_CLAIM_INVESTIGATION_STARTED, MANUAL_CLAIM_INVESTIGATION_COMPLETED, AUTOMATIC_CLAIM_CREATED, CLAIM_DOCUMENT_REQUESTED, CLAIM_REMINDER, CLAIM_ESCALATED, CLAIM_PAYMENT_INITIATED, TRIGGER_DETECTED, TRIGGER_VERIFIED, TRIGGER_REJECTED, TRIGGER_PROCESSED, THRESHOLD_APPROACHING, TRIGGER_THRESHOLD_EXCEEDED, TRIGGER_EVENT_DETECTED, TRIGGER_EVENT_VERIFIED, TRIGGER_EVENT_REJECTED, MANUAL_TRIGGER_CONFIRMED, MANUAL_TRIGGER_NOT_CONFIRMED, PARAMETRIC_COVERAGE_TRIGGERED, OBSERVATION_CREATED, PERIL_CREATED, TRIGGER_DEFINITION_CREATED, LOCATION_ZONE_CREATED, PAYMENT_SUCCESS, PAYMENT_FAILED, PAYMENT_PENDING, PAYMENT_RETRY, PAYMENT_REFUNDED, PAYOUT_PROCESSED, PAYOUT_INITIATED, PAYOUT_SUCCESS, PAYOUT_FAILED, PAYOUT_PENDING, PAYOUT_RETRY, QUOTE_CREATED, QUOTE_EXPIRED, QUOTE_CONSUMED, PREMIUM_DUE, PREMIUM_OVERDUE, REFUND_PROCESSED, REFUND_FAILED, RECONCILIATION_COMPLETED, RECONCILIATION_DISCREPANCY, PRICING_RULE_CREATED, PRICING_RULE_UPDATED, GENERAL</t>
  </si>
  <si>
    <t>RelatedEntityType</t>
  </si>
  <si>
    <t>POLICY, CLAIM, TRIGGER_EVENT, PAYMENT, PAYOUT, QUOTE, PRICING_RULE, RECONCILIATION, USER, PRODUCT</t>
  </si>
  <si>
    <t>Entity Status Lifecycles (state machines enforced in code)</t>
  </si>
  <si>
    <t>Entity</t>
  </si>
  <si>
    <t>Transition</t>
  </si>
  <si>
    <t>Triggered by (endpoint / job)</t>
  </si>
  <si>
    <t>Actor</t>
  </si>
  <si>
    <t>(new) -&gt; PENDING</t>
  </si>
  <si>
    <t>POST /api/policies, /custom, /{id}/renew, renewal scheduler</t>
  </si>
  <si>
    <t>Customer / System</t>
  </si>
  <si>
    <t>PENDING -&gt; ACTIVE</t>
  </si>
  <si>
    <t>PUT /api/policies/{id}/approve</t>
  </si>
  <si>
    <t>Underwriter / Admin</t>
  </si>
  <si>
    <t>PENDING -&gt; REJECTED</t>
  </si>
  <si>
    <t>PUT /api/policies/{id}/reject (reason required)</t>
  </si>
  <si>
    <t>PENDING -&gt; CANCELLED</t>
  </si>
  <si>
    <t>PUT /api/policies/{id}/cancel</t>
  </si>
  <si>
    <t>ACTIVE -&gt; EXPIRED</t>
  </si>
  <si>
    <t>System</t>
  </si>
  <si>
    <t>(new) -&gt; DRAFT -&gt; ACTIVE &lt;-&gt; INACTIVE -&gt; ARCHIVED</t>
  </si>
  <si>
    <t>POST /api/products; PUT /{id}/status (ACTIVE needs complete trigger; ARCHIVED needs no open policies); DELETE</t>
  </si>
  <si>
    <t>(new) -&gt; CREATED</t>
  </si>
  <si>
    <t>POST /api/financial/quotes</t>
  </si>
  <si>
    <t>CREATED -&gt; ACCEPTED</t>
  </si>
  <si>
    <t>PUT /quotes/{id}/accept</t>
  </si>
  <si>
    <t>ACCEPTED -&gt; CONSUMED</t>
  </si>
  <si>
    <t>PUT /internal/financial/quotes/{id}/consume (policy application)</t>
  </si>
  <si>
    <t>Product-Svc</t>
  </si>
  <si>
    <t>CREATED/ACCEPTED -&gt; EXPIRED / CANCELLED</t>
  </si>
  <si>
    <t>expiry after 7 days on read/validate; PUT /quotes/{id}/cancel</t>
  </si>
  <si>
    <t>System / Customer</t>
  </si>
  <si>
    <t>Pricing rule</t>
  </si>
  <si>
    <t>DRAFT / ACTIVE / INACTIVE / ARCHIVED</t>
  </si>
  <si>
    <t>PUT /pricing-rules/{id}/status; DELETE archives</t>
  </si>
  <si>
    <t>POST /api/financial/payments</t>
  </si>
  <si>
    <t>PENDING -&gt; SUCCESS | FAILED</t>
  </si>
  <si>
    <t>PUT /payments/{id}/success | /fail</t>
  </si>
  <si>
    <t>FAILED -&gt; PENDING</t>
  </si>
  <si>
    <t>PUT /payments/{id}/retry; PaymentRetryScheduler (attempt &lt; 3)</t>
  </si>
  <si>
    <t>Admin / System</t>
  </si>
  <si>
    <t>SUCCESS -&gt; REFUNDED</t>
  </si>
  <si>
    <t>PUT /payments/{id}/refund</t>
  </si>
  <si>
    <t>POST /internal/financial/payouts (on claim approval) or POST /api/financial/payouts</t>
  </si>
  <si>
    <t>Claims-Svc / Officer / Admin</t>
  </si>
  <si>
    <t>PENDING -&gt; PROCESSING -&gt; SUCCESS | FAILED</t>
  </si>
  <si>
    <t>PUT /payouts/{id}/process, /success, /fail</t>
  </si>
  <si>
    <t>PUT /payouts/{id}/retry; PayoutRetryScheduler (retryCount &lt; 3)</t>
  </si>
  <si>
    <t>(new) -&gt; SUBMITTED</t>
  </si>
  <si>
    <t>POST /api/claims; POST /internal/claims; POST /internal/claims/from-trigger-event</t>
  </si>
  <si>
    <t>SUBMITTED -&gt; UNDER_REVIEW</t>
  </si>
  <si>
    <t>PUT /api/claims/{id}/start-review</t>
  </si>
  <si>
    <t>Claims Officer / Admin</t>
  </si>
  <si>
    <t>UNDER_REVIEW -&gt; APPROVED | REJECTED</t>
  </si>
  <si>
    <t>PUT /{id}/approve (0 &lt; amount &lt;= claimed) | /reject</t>
  </si>
  <si>
    <t>APPROVED -&gt; SETTLED</t>
  </si>
  <si>
    <t>PUT /api/claims/{id}/settle</t>
  </si>
  <si>
    <t>SUBMITTED -&gt; CANCELLED</t>
  </si>
  <si>
    <t>PUT /api/claims/{id}/cancel</t>
  </si>
  <si>
    <t>RECEIVED -&gt; VALIDATED | REJECTED</t>
  </si>
  <si>
    <t>PUT /observations/validation/{id}/validate | /reject; validate-all</t>
  </si>
  <si>
    <t>Trigger definition</t>
  </si>
  <si>
    <t>DRAFT/INACTIVE -&gt; ACTIVE -&gt; INACTIVE; -&gt; ARCHIVED</t>
  </si>
  <si>
    <t>PUT /definitions/{id}/status; DELETE</t>
  </si>
  <si>
    <t>Trigger evaluation</t>
  </si>
  <si>
    <t>MATCHED | NOT_MATCHED | INSUFFICIENT_OBSERVATIONS</t>
  </si>
  <si>
    <t>Monitor scan, POST /definitions/{id}/evaluate, demo</t>
  </si>
  <si>
    <t>System / Admin</t>
  </si>
  <si>
    <t>Trigger event</t>
  </si>
  <si>
    <t>(new) -&gt; DETECTED</t>
  </si>
  <si>
    <t>Monitor scan / evaluation MATCHED</t>
  </si>
  <si>
    <t>(new) -&gt; VERIFIED (direct)</t>
  </si>
  <si>
    <t>PUT /api/triggers/current-measurements (match) or demo auto-verify</t>
  </si>
  <si>
    <t>DETECTED -&gt; UNDER_VALIDATION -&gt; VERIFIED | REJECTED</t>
  </si>
  <si>
    <t>PUT /events/{id}/start-validation, /verify, /reject</t>
  </si>
  <si>
    <t>VERIFIED -&gt; PROCESSED</t>
  </si>
  <si>
    <t>PUT /events/{id}/process or /internal/triggers/events/{id}/processed (payout success)</t>
  </si>
  <si>
    <t>Admin / Financial-Svc</t>
  </si>
  <si>
    <t>Location zone / Peril</t>
  </si>
  <si>
    <t>ACTIVE / INACTIVE / ARCHIVED</t>
  </si>
  <si>
    <t>PUT /{id}/status; DELETE (zone archive blocked if policies exist)</t>
  </si>
  <si>
    <t>User</t>
  </si>
  <si>
    <t>ACTIVE / SUSPENDED / INACTIVE</t>
  </si>
  <si>
    <t>PUT /api/users/{id}/status; DELETE /api/users/me</t>
  </si>
  <si>
    <t>Admin / Customer</t>
  </si>
  <si>
    <t>Monitor run</t>
  </si>
  <si>
    <t>RUNNING -&gt; COMPLETED | FAILED</t>
  </si>
  <si>
    <t>Angular SPA - Routes, Components, Actions &amp; Backend Calls</t>
  </si>
  <si>
    <t>All secured routes use authGuard + roleGuard. Endpoints resolved from API_ENDPOINTS constants (base http://localhost:8080).</t>
  </si>
  <si>
    <t>Route</t>
  </si>
  <si>
    <t>Layout</t>
  </si>
  <si>
    <t>Component</t>
  </si>
  <si>
    <t>NgRx actions dispatched</t>
  </si>
  <si>
    <t>Angular service methods</t>
  </si>
  <si>
    <t>Backend endpoints called (via gateway)</t>
  </si>
  <si>
    <t>/</t>
  </si>
  <si>
    <t>PublicLayout</t>
  </si>
  <si>
    <t>WelcomeComponent</t>
  </si>
  <si>
    <t>loadProducts</t>
  </si>
  <si>
    <t>GET /api/products</t>
  </si>
  <si>
    <t>PublicProductListComponent</t>
  </si>
  <si>
    <t>loadProducts, loadProductsByCategory</t>
  </si>
  <si>
    <t>ProductService.getActiveProducts, ProductService.getProductsByCategory</t>
  </si>
  <si>
    <t>GET /api/products
GET /api/products/category/{}</t>
  </si>
  <si>
    <t>/products/:productId</t>
  </si>
  <si>
    <t>PublicProductDetailComponent</t>
  </si>
  <si>
    <t>loadProduct</t>
  </si>
  <si>
    <t>GET /api/products/{}</t>
  </si>
  <si>
    <t>AuthLayout (guestGuard)</t>
  </si>
  <si>
    <t>Guest</t>
  </si>
  <si>
    <t>LoginComponent</t>
  </si>
  <si>
    <t>POST /api/auth/login</t>
  </si>
  <si>
    <t>RegisterComponent</t>
  </si>
  <si>
    <t>POST /api/auth/register</t>
  </si>
  <si>
    <t>CustomerLayout</t>
  </si>
  <si>
    <t>CustomerDashboardComponent</t>
  </si>
  <si>
    <t>loadMyClaims, loadMyPayments, loadMyPayouts, loadMyPolicies</t>
  </si>
  <si>
    <t>ClaimService.getMyClaims, PaymentService.getMyPayments, PayoutService.getMyPayouts, PolicyService.getMyPolicies, ProductService.getMeasurementStatus</t>
  </si>
  <si>
    <t>GET /api/claims/me
GET /api/financial/payments/me
GET /api/financial/payouts/me
GET /api/policies/me
GET /api/products/measurement-status</t>
  </si>
  <si>
    <t>/customer/profile</t>
  </si>
  <si>
    <t>CustomerProfileComponent</t>
  </si>
  <si>
    <t>updateProfile</t>
  </si>
  <si>
    <t>/customer/policies</t>
  </si>
  <si>
    <t>CustomerPoliciesComponent</t>
  </si>
  <si>
    <t>cancelPolicy, loadMyPolicies</t>
  </si>
  <si>
    <t>PolicyService.cancelPolicy, PolicyService.getMyPolicy, PolicyService.getMyPolicies, ZoneService.getActiveZones</t>
  </si>
  <si>
    <t>PUT /api/policies/{}/cancel
GET /api/policies/{}
GET /api/policies/me
GET /api/triggers/zones/active</t>
  </si>
  <si>
    <t>CustomerPolicyNewComponent</t>
  </si>
  <si>
    <t>createCustomPolicy, createPolicy, loadProducts</t>
  </si>
  <si>
    <t>PolicyService.createCustomPolicy, PolicyService.createPolicy, ProductService.getActiveProducts, QuoteService.getQuote, ZoneService.getActiveZones</t>
  </si>
  <si>
    <t>POST /api/policies/custom
POST /api/policies
GET /api/products
GET /api/financial/quotes/{}
GET /api/triggers/zones/active</t>
  </si>
  <si>
    <t>CustomerPolicyDetailComponent</t>
  </si>
  <si>
    <t>cancelPolicy, loadMyPolicy</t>
  </si>
  <si>
    <t>PolicyService.cancelPolicy, PolicyService.getMyPolicy, PolicyService.downloadCertificate, PolicyService.getPolicySnapshot, PolicyService.renewPolicy, PolicyService.setAutoRenew, ZoneService.getZone</t>
  </si>
  <si>
    <t>PUT /api/policies/{}/cancel
GET /api/policies/{}
GET /api/policies/{}/certificate
GET /api/policies/{}/snapshot
POST /api/policies/{}/renew
PUT /api/policies/{}/auto-renew
GET /api/triggers/zones/{}</t>
  </si>
  <si>
    <t>/customer/claims</t>
  </si>
  <si>
    <t>CustomerClaimsComponent</t>
  </si>
  <si>
    <t>cancelClaim, loadMyClaims</t>
  </si>
  <si>
    <t>ClaimService.cancelClaim, ClaimService.getMyClaim, ClaimService.getMyClaims, ZoneService.getActiveZones</t>
  </si>
  <si>
    <t>PUT /api/claims/{}/cancel
GET /api/claims/{}
GET /api/claims/me
GET /api/triggers/zones/active</t>
  </si>
  <si>
    <t>CustomerClaimNewComponent</t>
  </si>
  <si>
    <t>createClaim, loadMyPolicies</t>
  </si>
  <si>
    <t>ClaimService.createClaim, ClaimService.uploadDocuments, PolicyService.getMyPolicies, PolicyService.getPolicySnapshot, ZoneService.getActiveZones</t>
  </si>
  <si>
    <t>POST /api/claims
POST /api/claims/{}/documents
GET /api/policies/me
GET /api/policies/{}/snapshot
GET /api/triggers/zones/active</t>
  </si>
  <si>
    <t>CustomerClaimDetailComponent</t>
  </si>
  <si>
    <t>cancelClaim, loadMyClaim</t>
  </si>
  <si>
    <t>ClaimService.cancelClaim, ClaimService.getMyClaim, ClaimService.downloadMyDocument, ClaimService.getMyClaimTimeline, ClaimService.getMyDocuments, ZoneService.getZone</t>
  </si>
  <si>
    <t>PUT /api/claims/{}/cancel
GET /api/claims/{}
GET /api/claims/{}/documents/{}
GET /api/claims/{}/timeline
GET /api/claims/{}/documents
GET /api/triggers/zones/{}</t>
  </si>
  <si>
    <t>CustomerNotificationsComponent</t>
  </si>
  <si>
    <t>deleteNotification, loadNotifications, loadPreferences, markAllAsRead, markAsRead, refreshNotifications, upsertPreference</t>
  </si>
  <si>
    <t>NotificationService.deleteNotification, NotificationService.getMyNotificationsCreatedAfter, NotificationService.getMyNotifications, NotificationService.getMyPreferences, NotificationService.markAllAsRead, NotificationService.markAsRead, NotificationService.upsertPreference</t>
  </si>
  <si>
    <t>DELETE /api/notifications/{}
GET /api/notifications/me
GET /api/notifications/me/preferences
PUT /api/notifications/me/read-all
PUT /api/notifications/{}/read
PUT /api/notifications/me/preferences</t>
  </si>
  <si>
    <t>CustomerQuotesComponent</t>
  </si>
  <si>
    <t>acceptQuote, cancelQuote, createQuote, loadProducts, loadQuotes</t>
  </si>
  <si>
    <t>QuoteService.acceptQuote, QuoteService.cancelQuote, QuoteService.createQuote, ProductService.getActiveProducts, QuoteService.getMyQuotes, ZoneService.getActiveZones</t>
  </si>
  <si>
    <t>PUT /api/financial/quotes/{}/accept
PUT /api/financial/quotes/{}/cancel
POST /api/financial/quotes
GET /api/products
GET /api/financial/quotes/me
GET /api/triggers/zones/active</t>
  </si>
  <si>
    <t>/customer/payments  (+ ?tab=payouts; /customer/payouts redirects)</t>
  </si>
  <si>
    <t>CustomerPaymentsComponent</t>
  </si>
  <si>
    <t>createPayment, loadMyPayments, loadMyPayouts, loadMyPolicies</t>
  </si>
  <si>
    <t>PaymentService.createPayment, PaymentService.getMyPayments, PayoutService.getMyPayouts, PolicyService.getMyPolicies, PayoutService.downloadReceipt</t>
  </si>
  <si>
    <t>POST /api/financial/payments
GET /api/financial/payments/me
GET /api/financial/payouts/me
GET /api/policies/me
GET /api/financial/payouts/{}/receipt</t>
  </si>
  <si>
    <t>/customer/zone-map</t>
  </si>
  <si>
    <t>ZoneMapPageComponent</t>
  </si>
  <si>
    <t>CurrentMeasurementService.getZoneMeasurements, PolicyService.getAllPolicies, PolicyService.getMyPolicies, ProductService.getActiveProducts, ProductService.getAdminProducts, ZoneService.getActiveZones, ZoneService.getAllZones</t>
  </si>
  <si>
    <t>GET /api/triggers/measurements/zones
GET /api/policies/admin/all
GET /api/policies/me
GET /api/products
GET /api/products/admin/all
GET /api/triggers/zones/active
GET /api/triggers/zones</t>
  </si>
  <si>
    <t>/customer/activity</t>
  </si>
  <si>
    <t>AuditHistoryComponent</t>
  </si>
  <si>
    <t>NotificationService.getAuditEvents, NotificationService.getMyAuditEvents</t>
  </si>
  <si>
    <t>GET /api/notifications/admin/audit
GET /api/notifications/audit/me</t>
  </si>
  <si>
    <t>/underwriter/dashboard</t>
  </si>
  <si>
    <t>UnderwriterLayout</t>
  </si>
  <si>
    <t>UNDERWRITER</t>
  </si>
  <si>
    <t>UnderwriterDashboardComponent</t>
  </si>
  <si>
    <t>loadAdminPolicies, loadReviewPolicies</t>
  </si>
  <si>
    <t>PolicyService.getAllPolicies, PolicyService.getPendingPolicies</t>
  </si>
  <si>
    <t>GET /api/policies/admin/all
GET /api/policies/review/pending</t>
  </si>
  <si>
    <t>/underwriter/policies</t>
  </si>
  <si>
    <t>UnderwriterPoliciesComponent</t>
  </si>
  <si>
    <t>loadReviewPolicies</t>
  </si>
  <si>
    <t>PolicyService.getPendingPolicies, ZoneService.getActiveZones</t>
  </si>
  <si>
    <t>GET /api/policies/review/pending
GET /api/triggers/zones/active</t>
  </si>
  <si>
    <t>UnderwriterPolicyDetailComponent</t>
  </si>
  <si>
    <t>approvePolicy, loadAdminPolicy, rejectPolicy</t>
  </si>
  <si>
    <t>PolicyService.approvePolicy, PolicyService.getPolicy, PolicyService.rejectPolicy, PolicyService.getPolicySnapshot, ProductService.getProduct, UserService.getUser, ZoneService.getZone</t>
  </si>
  <si>
    <t>PUT /api/policies/{}/approve
GET /api/policies/admin/{}
PUT /api/policies/{}/reject
GET /api/policies/{}/snapshot
GET /api/products/{}
GET /api/users/{}
GET /api/triggers/zones/{}</t>
  </si>
  <si>
    <t>/underwriter/notifications</t>
  </si>
  <si>
    <t>StaffNotificationsComponent</t>
  </si>
  <si>
    <t>deleteNotification, loadNotifications, markAllAsRead, markAsRead, refreshNotifications</t>
  </si>
  <si>
    <t>NotificationService.deleteNotification, NotificationService.getMyNotificationsCreatedAfter, NotificationService.getMyNotifications, NotificationService.markAllAsRead, NotificationService.markAsRead</t>
  </si>
  <si>
    <t>DELETE /api/notifications/{}
GET /api/notifications/me
PUT /api/notifications/me/read-all
PUT /api/notifications/{}/read</t>
  </si>
  <si>
    <t>/underwriter/activity</t>
  </si>
  <si>
    <t>UnderwriterReviewHistoryComponent</t>
  </si>
  <si>
    <t>GET /api/policies/review/history</t>
  </si>
  <si>
    <t>/claims-officer/dashboard</t>
  </si>
  <si>
    <t>ClaimsOfficerLayout</t>
  </si>
  <si>
    <t>CLAIMS_OFFICER</t>
  </si>
  <si>
    <t>ClaimsOfficerDashboardComponent</t>
  </si>
  <si>
    <t>loadSubmittedClaims, loadTriggerEvents</t>
  </si>
  <si>
    <t>ClaimService.getSubmittedClaims, TriggerEventService.getAllEvents</t>
  </si>
  <si>
    <t>GET /api/claims/review/submitted
GET /api/triggers/events</t>
  </si>
  <si>
    <t>/claims-officer/claims</t>
  </si>
  <si>
    <t>ClaimsOfficerClaimsComponent</t>
  </si>
  <si>
    <t>loadSubmittedClaims</t>
  </si>
  <si>
    <t>ClaimService.getSubmittedClaims, ZoneService.getActiveZones</t>
  </si>
  <si>
    <t>GET /api/claims/review/submitted
GET /api/triggers/zones/active</t>
  </si>
  <si>
    <t>ClaimsOfficerClaimDetailComponent</t>
  </si>
  <si>
    <t>approveClaim, loadReviewClaim, rejectClaim, startClaimReview</t>
  </si>
  <si>
    <t>ClaimService.getReviewClaim, ClaimService.rejectClaim, ClaimService.startReview, ClaimService.downloadReviewDocument, ClaimService.getReviewDocuments, ProductService.getProduct, UserService.getUser, ZoneService.getZone</t>
  </si>
  <si>
    <t>GET /api/claims/review/{}
PUT /api/claims/{}/reject
PUT /api/claims/{}/start-review
GET /api/claims/review/{}/documents/{}
GET /api/claims/review/{}/documents
GET /api/products/{}
GET /api/users/{}
GET /api/triggers/zones/{}</t>
  </si>
  <si>
    <t>/claims-officer/notifications</t>
  </si>
  <si>
    <t>/claims-officer/activity</t>
  </si>
  <si>
    <t>ClaimsOfficerReviewHistoryComponent</t>
  </si>
  <si>
    <t>GET /api/claims/review/history</t>
  </si>
  <si>
    <t>/admin/dashboard</t>
  </si>
  <si>
    <t>AdminLayout</t>
  </si>
  <si>
    <t>AdminDashboardComponent</t>
  </si>
  <si>
    <t>loadAdminPolicies, loadAdminProducts, loadPayouts, loadUsers</t>
  </si>
  <si>
    <t>PolicyService.getAllPolicies, ProductService.getAdminProducts, PayoutService.getAllPayouts, UserService.getAllUsers</t>
  </si>
  <si>
    <t>GET /api/policies/admin/all
GET /api/products/admin/all
GET /api/financial/payouts/admin/all
GET /api/users</t>
  </si>
  <si>
    <t>AdminProductsComponent</t>
  </si>
  <si>
    <t>deleteProduct, loadAdminProducts, updateProductStatus</t>
  </si>
  <si>
    <t>ProductService.deleteProduct, ProductService.getAdminProducts, ProductService.updateProductStatus</t>
  </si>
  <si>
    <t>DELETE /api/products/{}
GET /api/products/admin/all
PUT /api/products/{}/status</t>
  </si>
  <si>
    <t>AdminProductNewComponent</t>
  </si>
  <si>
    <t>POST /api/products</t>
  </si>
  <si>
    <t>AdminProductEditComponent</t>
  </si>
  <si>
    <t>loadAdminProduct, updateProduct</t>
  </si>
  <si>
    <t>ProductService.getAdminProduct, ProductService.updateProduct</t>
  </si>
  <si>
    <t>GET /api/products/admin/{}
PUT /api/products/{}</t>
  </si>
  <si>
    <t>/admin/product-thresholds</t>
  </si>
  <si>
    <t>AdminProductThresholdsComponent</t>
  </si>
  <si>
    <t>loadAdminProducts</t>
  </si>
  <si>
    <t>GET /api/products/admin/all</t>
  </si>
  <si>
    <t>AdminProductThresholdComponent</t>
  </si>
  <si>
    <t>loadAdminProduct, loadProductThresholdHistory, updateProductThreshold</t>
  </si>
  <si>
    <t>ProductService.getAdminProduct, ProductService.getThresholdHistory, ProductService.updateThreshold</t>
  </si>
  <si>
    <t>GET /api/products/admin/{}
GET /api/products/admin/{}/threshold-history
PUT /api/products/admin/{}/threshold</t>
  </si>
  <si>
    <t>AdminUsersComponent</t>
  </si>
  <si>
    <t>loadUsers, updateUserStatus</t>
  </si>
  <si>
    <t>UserService.getAllUsers, UserService.updateUserStatus</t>
  </si>
  <si>
    <t>GET /api/users
PUT /api/users/{}/status</t>
  </si>
  <si>
    <t>/admin/users/:userId</t>
  </si>
  <si>
    <t>AdminUserDetailComponent</t>
  </si>
  <si>
    <t>ClaimService.getAllClaims, PolicyService.getAllPolicies, UserService.getUser, ZoneService.getAllZones</t>
  </si>
  <si>
    <t>GET /api/claims/admin/all
GET /api/policies/admin/all
GET /api/users/{}
GET /api/triggers/zones</t>
  </si>
  <si>
    <t>/admin/policies</t>
  </si>
  <si>
    <t>AdminPoliciesComponent</t>
  </si>
  <si>
    <t>loadAdminPolicies</t>
  </si>
  <si>
    <t>PolicyService.getAllPolicies, ZoneService.getAllZones</t>
  </si>
  <si>
    <t>GET /api/policies/admin/all
GET /api/triggers/zones</t>
  </si>
  <si>
    <t>AdminPolicyDetailComponent</t>
  </si>
  <si>
    <t>loadAdminPolicy</t>
  </si>
  <si>
    <t>PolicyService.getPolicy, PolicyService.downloadAdminCertificate, PolicyService.getPolicySnapshot, UserService.getUser, ZoneService.getZone</t>
  </si>
  <si>
    <t>GET /api/policies/admin/{}
GET /api/policies/admin/{}/certificate
GET /api/policies/{}/snapshot
GET /api/users/{}
GET /api/triggers/zones/{}</t>
  </si>
  <si>
    <t>/admin/claims</t>
  </si>
  <si>
    <t>AdminClaimsComponent</t>
  </si>
  <si>
    <t>loadAdminClaims</t>
  </si>
  <si>
    <t>ClaimService.getAllClaims, ZoneService.getAllZones</t>
  </si>
  <si>
    <t>GET /api/claims/admin/all
GET /api/triggers/zones</t>
  </si>
  <si>
    <t>AdminClaimDetailComponent</t>
  </si>
  <si>
    <t>loadAdminClaim</t>
  </si>
  <si>
    <t>ClaimService.getAdminClaim, ClaimService.getAdminClaimTimeline, ClaimService.getReviewDocuments, PolicyService.getPolicy, UserService.getUser, ZoneService.getZone</t>
  </si>
  <si>
    <t>GET /api/claims/admin/{}
GET /api/claims/admin/{}/timeline
GET /api/claims/review/{}/documents
GET /api/policies/admin/{}
GET /api/users/{}
GET /api/triggers/zones/{}</t>
  </si>
  <si>
    <t>AdminPerilsComponent</t>
  </si>
  <si>
    <t>archivePeril, createPeril, loadPerils, updatePeril, updatePerilStatus</t>
  </si>
  <si>
    <t>PerilService.archivePeril, PerilService.createPeril, PerilService.getAllPerils, PerilService.updatePeril, PerilService.updatePerilStatus</t>
  </si>
  <si>
    <t>DELETE /api/triggers/perils/{}
POST /api/triggers/perils
GET /api/triggers/perils
PUT /api/triggers/perils/{}
PUT /api/triggers/perils/{}/status</t>
  </si>
  <si>
    <t>AdminZonesComponent</t>
  </si>
  <si>
    <t>archiveZone, createZone, loadZones, updateZone, updateZoneStatus</t>
  </si>
  <si>
    <t>ZoneService.archiveZone, ZoneService.createZone, ZoneService.getAllZones, ZoneService.updateZone, ZoneService.updateZoneStatus</t>
  </si>
  <si>
    <t>DELETE /api/triggers/zones/{}
POST /api/triggers/zones
GET /api/triggers/zones
PUT /api/triggers/zones/{}
PUT /api/triggers/zones/{}/status</t>
  </si>
  <si>
    <t>AdminCurrentMeasurementsComponent</t>
  </si>
  <si>
    <t>CurrentMeasurementService.getCurrentMeasurements, CurrentMeasurementService.process, ProductService.getAdminMeasurementStatus, ProductService.getAdminProducts, ZoneService.getActiveZones</t>
  </si>
  <si>
    <t>GET /api/triggers/current-measurements
PUT /api/triggers/current-measurements
GET /api/products/admin/measurement-status
GET /api/products/admin/all
GET /api/triggers/zones/active</t>
  </si>
  <si>
    <t>AdminPricingRulesComponent</t>
  </si>
  <si>
    <t>archivePricingRule, createPricingRule, loadAdminProducts, loadPricingRules, loadZones, updatePricingRule, updatePricingRuleStatus</t>
  </si>
  <si>
    <t>PricingRuleService.archiveRule, PricingRuleService.createRule, ProductService.getAdminProducts, PricingRuleService.getAllRules, ZoneService.getAllZones, PricingRuleService.updateRule, PricingRuleService.updateStatus</t>
  </si>
  <si>
    <t>DELETE /api/financial/pricing-rules/{}
POST /api/financial/pricing-rules
GET /api/products/admin/all
GET /api/financial/pricing-rules
GET /api/triggers/zones
PUT /api/financial/pricing-rules/{}
PUT /api/financial/pricing-rules/{}/status</t>
  </si>
  <si>
    <t>AdminPaymentsComponent</t>
  </si>
  <si>
    <t>loadPayments, markPaymentFail, markPaymentSuccess, refundPayment</t>
  </si>
  <si>
    <t>PaymentService.getAllPayments, PaymentService.markFail, PaymentService.markSuccess, PaymentService.refundPayment</t>
  </si>
  <si>
    <t>GET /api/financial/payments/admin/all
PUT /api/financial/payments/{}/fail
PUT /api/financial/payments/{}/success
PUT /api/financial/payments/{}/refund</t>
  </si>
  <si>
    <t>AdminPayoutsComponent</t>
  </si>
  <si>
    <t>loadPayouts, markPayoutFail, markPayoutSuccess, processPayout, retryPayout</t>
  </si>
  <si>
    <t>PayoutService.getAllPayouts, PayoutService.markFail, PayoutService.markSuccess, PayoutService.processPayout, PayoutService.retryPayout, PayoutService.downloadAdminReceipt</t>
  </si>
  <si>
    <t>GET /api/financial/payouts/admin/all
PUT /api/financial/payouts/{}/fail
PUT /api/financial/payouts/{}/success
PUT /api/financial/payouts/{}/process
PUT /api/financial/payouts/{}/retry
GET /api/financial/payouts/admin/{}/receipt</t>
  </si>
  <si>
    <t>/admin/trigger-events</t>
  </si>
  <si>
    <t>AdminTriggerEventsComponent</t>
  </si>
  <si>
    <t>loadTriggerEvents</t>
  </si>
  <si>
    <t>GET /api/triggers/events</t>
  </si>
  <si>
    <t>/admin/zone-map</t>
  </si>
  <si>
    <t>AdminNotificationsComponent</t>
  </si>
  <si>
    <t>loadAllNotifications, loadUnreadCount</t>
  </si>
  <si>
    <t>NotificationService.getAllNotifications, NotificationService.getUnreadCount, NotificationService.adminDelete, NotificationService.adminMarkAsRead</t>
  </si>
  <si>
    <t>GET /api/notifications/admin/all
GET /api/notifications/me/unread-count
DELETE /api/notifications/admin/{}
PUT /api/notifications/admin/{}/read</t>
  </si>
  <si>
    <t>/admin/audit</t>
  </si>
  <si>
    <t>/admin/activity</t>
  </si>
  <si>
    <t>UJ-01  Customer Registration, Login &amp; Session</t>
  </si>
  <si>
    <t>&lt;- Back to Overview</t>
  </si>
  <si>
    <t>Actor(s)</t>
  </si>
  <si>
    <t>Trigger / entry</t>
  </si>
  <si>
    <t>Guest clicks Register / Login on the public site.</t>
  </si>
  <si>
    <t>Pre-conditions</t>
  </si>
  <si>
    <t>Auth-Svc running; ROLE_CUSTOMER seeded; Eureka + Gateway up.</t>
  </si>
  <si>
    <t>Post-conditions</t>
  </si>
  <si>
    <t>User has access + refresh JWT stored in browser; session row exists; audit trail recorded.</t>
  </si>
  <si>
    <t>Service hop chain</t>
  </si>
  <si>
    <t>SPA -&gt; Gateway -&gt; AUTH-SERVICE</t>
  </si>
  <si>
    <t>Step</t>
  </si>
  <si>
    <t>UI screen / route (component)</t>
  </si>
  <si>
    <t>User / system action</t>
  </si>
  <si>
    <t>Frontend call (NgRx action -&gt; Angular service)</t>
  </si>
  <si>
    <t>Endpoint (via Gateway :8080 unless internal)</t>
  </si>
  <si>
    <t>Service method(s)</t>
  </si>
  <si>
    <t>Business rules &amp; validations</t>
  </si>
  <si>
    <t>Inter-service calls (sync REST)</t>
  </si>
  <si>
    <t>DB tables touched</t>
  </si>
  <si>
    <t>Status transition</t>
  </si>
  <si>
    <t>Notifications / audit</t>
  </si>
  <si>
    <t>Result / UI outcome</t>
  </si>
  <si>
    <t>/register (RegisterComponent)</t>
  </si>
  <si>
    <t>Fills name, email, password, phone and submits</t>
  </si>
  <si>
    <t>register() -&gt; AuthEffects.register$ -&gt; AuthService.register()</t>
  </si>
  <si>
    <t>AUTH-SERVICE :8081</t>
  </si>
  <si>
    <t>AuthHandler.register</t>
  </si>
  <si>
    <t>Email normalised &amp; must be unique (409 otherwise); password BCrypt-hashed; role ROLE_CUSTOMER assigned; initial profile created.</t>
  </si>
  <si>
    <t>-&gt; Notification-Svc POST /internal/audit-events (USER_REGISTERED)</t>
  </si>
  <si>
    <t>users_credentials, user_roles, user_profiles, sessions, refresh_tokens</t>
  </si>
  <si>
    <t>User: ACTIVE</t>
  </si>
  <si>
    <t>Audit USER_REGISTERED</t>
  </si>
  <si>
    <t>AuthResponse {accessToken, refreshToken, user}; tokens saved by TokenStorageService; redirect to /customer/dashboard</t>
  </si>
  <si>
    <t>/login (LoginComponent)</t>
  </si>
  <si>
    <t>Enters email + password</t>
  </si>
  <si>
    <t>login() -&gt; AuthEffects.login$ -&gt; AuthService.login()</t>
  </si>
  <si>
    <t>AuthHandler.login</t>
  </si>
  <si>
    <t>Invalid email/password -&gt; 401; SUSPENDED/INACTIVE users blocked; device name + IP captured for the session.</t>
  </si>
  <si>
    <t>-&gt; Notification-Svc POST /internal/audit-events (USER_LOGIN)</t>
  </si>
  <si>
    <t>sessions, refresh_tokens</t>
  </si>
  <si>
    <t>Audit USER_LOGIN</t>
  </si>
  <si>
    <t>JWT (claims: userId, email, role, customerId) stored; roleGuard routes to role dashboard</t>
  </si>
  <si>
    <t>SPA</t>
  </si>
  <si>
    <t>App bootstrap (any page reload)</t>
  </si>
  <si>
    <t>Restore session</t>
  </si>
  <si>
    <t>restoreSession() -&gt; AuthService.me()</t>
  </si>
  <si>
    <t>AuthHandler.me</t>
  </si>
  <si>
    <t>AuthService.getCurrentUser()</t>
  </si>
  <si>
    <t>Gateway validates JWT, injects X-Authenticated-User-Id / Role / Customer-Id + X-Gateway-Key headers.</t>
  </si>
  <si>
    <t>User object in NgRx auth state</t>
  </si>
  <si>
    <t>Any secured call (auth.interceptor)</t>
  </si>
  <si>
    <t>Access token expired (15 min) -&gt; 401</t>
  </si>
  <si>
    <t>refreshToken() -&gt; AuthService.refresh()</t>
  </si>
  <si>
    <t>AuthHandler.refresh</t>
  </si>
  <si>
    <t>Refresh token (7 days) must be valid and not revoked; rotated on use.</t>
  </si>
  <si>
    <t>refresh_tokens, sessions</t>
  </si>
  <si>
    <t>New token pair; original request retried</t>
  </si>
  <si>
    <t>Header &gt; Sessions</t>
  </si>
  <si>
    <t>Views &amp; revokes other devices</t>
  </si>
  <si>
    <t>AuthService.getSessions() / revokeSession()</t>
  </si>
  <si>
    <t>GET / DELETE</t>
  </si>
  <si>
    <t>/api/auth/sessions  |  /api/auth/sessions/{sessionId}</t>
  </si>
  <si>
    <t>AuthHandler.sessions / revokeSession</t>
  </si>
  <si>
    <t>Only own sessions.</t>
  </si>
  <si>
    <t>Session: revoked</t>
  </si>
  <si>
    <t>Session list refreshed</t>
  </si>
  <si>
    <t>Header &gt; Logout</t>
  </si>
  <si>
    <t>Signs out</t>
  </si>
  <si>
    <t>logout() -&gt; AuthService.logout()</t>
  </si>
  <si>
    <t>AuthHandler.logout</t>
  </si>
  <si>
    <t>Refresh token revoked.</t>
  </si>
  <si>
    <t>Session: ended</t>
  </si>
  <si>
    <t>Tokens cleared, redirect to /login</t>
  </si>
  <si>
    <t>Customer (optional)</t>
  </si>
  <si>
    <t>Email link / Forgot password</t>
  </si>
  <si>
    <t>Verifies email / resets password</t>
  </si>
  <si>
    <t>(no SPA screen - API only)</t>
  </si>
  <si>
    <t>/api/auth/verify-email  |  /api/auth/forgot-password  |  /api/auth/reset-password</t>
  </si>
  <si>
    <t>EmailVerificationHandler.verify / PasswordResetHandler.*</t>
  </si>
  <si>
    <t>EmailVerificationService.verify() / PasswordResetService.generateToken(), resetPassword()</t>
  </si>
  <si>
    <t>Verification token 24 h; reset token 1 h.</t>
  </si>
  <si>
    <t>-&gt; Notification-Svc POST /internal/audit-events</t>
  </si>
  <si>
    <t>email_verification_tokens, password_reset_tokens, users_credentials</t>
  </si>
  <si>
    <t>Audit</t>
  </si>
  <si>
    <t>Message response</t>
  </si>
  <si>
    <t>UJ-02  Browse Product Catalogue (public)</t>
  </si>
  <si>
    <t>Visitor opens the welcome page or /products.</t>
  </si>
  <si>
    <t>At least one product in ACTIVE status.</t>
  </si>
  <si>
    <t>Visitor understands cover, limits and trigger; can proceed to apply.</t>
  </si>
  <si>
    <t>SPA -&gt; Gateway -&gt; PRODUCT-SERVICE</t>
  </si>
  <si>
    <t>/ (WelcomeComponent)</t>
  </si>
  <si>
    <t>Lands on home page</t>
  </si>
  <si>
    <t>loadProducts() -&gt; ProductService.getActiveProducts()</t>
  </si>
  <si>
    <t>PRODUCT-SERVICE :8082</t>
  </si>
  <si>
    <t>ProductHandler.getProducts</t>
  </si>
  <si>
    <t>Public path - gateway skips JWT (GET /api/products, /api/products/{id}, /api/products/category/{c}).</t>
  </si>
  <si>
    <t>read products, coverages</t>
  </si>
  <si>
    <t>Featured product cards</t>
  </si>
  <si>
    <t>/products (PublicProductListComponent)</t>
  </si>
  <si>
    <t>Filters by category</t>
  </si>
  <si>
    <t>loadProductsByCategory() -&gt; ProductService.getProductsByCategory()</t>
  </si>
  <si>
    <t>ProductHandler.getByCategory</t>
  </si>
  <si>
    <t>Category must be a valid ProductCategory enum.</t>
  </si>
  <si>
    <t>Filtered list</t>
  </si>
  <si>
    <t>/products/:productId (PublicProductDetailComponent)</t>
  </si>
  <si>
    <t>Opens a product</t>
  </si>
  <si>
    <t>loadProduct() -&gt; ProductService.getProduct()</t>
  </si>
  <si>
    <t>ProductHandler.getProduct</t>
  </si>
  <si>
    <t>ProductService.getActiveProduct()</t>
  </si>
  <si>
    <t>Only ACTIVE products visible.</t>
  </si>
  <si>
    <t>Product detail + parametric-trigger-card + trigger-explanation; 'Apply' leads to login / policy form</t>
  </si>
  <si>
    <t>UJ-03  Customer Profile Management</t>
  </si>
  <si>
    <t>Customer opens /customer/profile.</t>
  </si>
  <si>
    <t>Signed in as CUSTOMER.</t>
  </si>
  <si>
    <t>Today: profile changes only held in browser state (not persisted). Intended: profile saved via PUT /api/users/me with audit.</t>
  </si>
  <si>
    <t>SPA -&gt; Gateway -&gt; AUTH-SERVICE -&gt; AUTH-SERVICE (intended) -&gt; NOTIFICATION-SERVICE</t>
  </si>
  <si>
    <t>/customer/profile (CustomerProfileComponent)</t>
  </si>
  <si>
    <t>Opens profile</t>
  </si>
  <si>
    <t>Reads user from NgRx auth state (loaded by AuthService.me())</t>
  </si>
  <si>
    <t>Authenticated.</t>
  </si>
  <si>
    <t>read users_credentials, user_profiles</t>
  </si>
  <si>
    <t>Form pre-filled from auth state</t>
  </si>
  <si>
    <t>Edits and saves</t>
  </si>
  <si>
    <t>updateProfile() - reducer only; NO effect / HTTP call (see Findings)</t>
  </si>
  <si>
    <t>(none today)  - intended: PUT /api/users/me</t>
  </si>
  <si>
    <t>AUTH-SERVICE (intended)</t>
  </si>
  <si>
    <t>UserHandler.saveMyProfile (not reached)</t>
  </si>
  <si>
    <t>UserProfileService.saveProfile() (not reached)</t>
  </si>
  <si>
    <t>Backend would enforce CUSTOMER role and field validation (phone, DOB, segment INDIVIDUAL/FARMER/SMALL_BUSINESS/ENTERPRISE).</t>
  </si>
  <si>
    <t>none (would be user_profiles, addresses)</t>
  </si>
  <si>
    <t>UI shows updated values until reload; data not persisted</t>
  </si>
  <si>
    <t>/customer/activity (AuditHistoryComponent, scope MINE)</t>
  </si>
  <si>
    <t>Reviews own activity</t>
  </si>
  <si>
    <t>loadMyAuditEvents() -&gt; NotificationService.getMyAuditEvents()</t>
  </si>
  <si>
    <t>NOTIFICATION-SERVICE :8085</t>
  </si>
  <si>
    <t>AuditEventHandler.mine</t>
  </si>
  <si>
    <t>Only events where actor = caller.</t>
  </si>
  <si>
    <t>read audit_events</t>
  </si>
  <si>
    <t>Activity timeline</t>
  </si>
  <si>
    <t>UJ-04  Get a Quote and Accept It</t>
  </si>
  <si>
    <t>Customer opens /customer/quotes and requests a quote.</t>
  </si>
  <si>
    <t>Product ACTIVE; zone ACTIVE; an ACTIVE pricing rule exists for product (+zone) - DefaultPricingRuleScheduler provisions one per product.</t>
  </si>
  <si>
    <t>Quote in ACCEPTED state, valid 7 days, ready to be used in a policy application.</t>
  </si>
  <si>
    <t>SPA -&gt; Gateway -&gt; PRODUCT -&gt; FINANCIAL-SERVICE</t>
  </si>
  <si>
    <t>/customer/quotes (CustomerQuotesComponent)</t>
  </si>
  <si>
    <t>Opens quotes page</t>
  </si>
  <si>
    <t>loadProducts(), loadQuotes(), ZoneService.getActiveZones()</t>
  </si>
  <si>
    <t>/api/products  |  /api/financial/quotes/me  |  /api/triggers/zones/active</t>
  </si>
  <si>
    <t>PRODUCT / FINANCIAL / TRIGGER</t>
  </si>
  <si>
    <t>ProductHandler.getProducts / QuoteHandler.findMine / LocationZoneHandler.getActive</t>
  </si>
  <si>
    <t>getActiveProducts() / QuoteService.findMine() / LocationZoneService.getActive()</t>
  </si>
  <si>
    <t>Stale quotes auto-marked EXPIRED on read.</t>
  </si>
  <si>
    <t>Product &amp; zone pickers, my quotes list</t>
  </si>
  <si>
    <t>Selects product, zone, sum insured, term -&gt; 'Get quote'</t>
  </si>
  <si>
    <t>createQuote() -&gt; QuoteService.createQuote()</t>
  </si>
  <si>
    <t>FINANCIAL-SERVICE :8088</t>
  </si>
  <si>
    <t>QuoteHandler.create</t>
  </si>
  <si>
    <t>QuoteService.create()</t>
  </si>
  <si>
    <t>Customer only; sum insured / term within product min-max; zone must be ACTIVE; applicable rule = ACTIVE rule for product+zone (else product-wide). Premium = max(SI x baseAnnualRate x term/12 x termFactor x locationFactor, minimumPremium).</t>
  </si>
  <si>
    <t>Financial -&gt; Product-Svc GET /internal/products/{productId}; Financial -&gt; Trigger-Svc GET /internal/triggers/zones/{zoneId}; -&gt; Notification-Svc POST /internal/audit-events (QUOTE_CREATED); -&gt; Notification-Svc POST /internal/notifications (QUOTE_CREATED)</t>
  </si>
  <si>
    <t>Quote: CREATED (expiresAt = now + 7 days)</t>
  </si>
  <si>
    <t>Customer notified QUOTE_CREATED</t>
  </si>
  <si>
    <t>Quote card with premium breakdown</t>
  </si>
  <si>
    <t>Clicks 'Accept'</t>
  </si>
  <si>
    <t>acceptQuote() -&gt; QuoteService.acceptQuote()</t>
  </si>
  <si>
    <t>QuoteHandler.accept</t>
  </si>
  <si>
    <t>Must be caller's quote; 409 if CONSUMED / EXPIRED / CANCELLED; idempotent if already ACCEPTED.</t>
  </si>
  <si>
    <t>-&gt; Notification-Svc POST /internal/audit-events (QUOTE_ACCEPTED)</t>
  </si>
  <si>
    <t>Quote: CREATED -&gt; ACCEPTED</t>
  </si>
  <si>
    <t>'Apply with this quote' button -&gt; /customer/policies/new?quoteId=</t>
  </si>
  <si>
    <t>Customer (alt)</t>
  </si>
  <si>
    <t>Clicks 'Cancel'</t>
  </si>
  <si>
    <t>cancelQuote() -&gt; QuoteService.cancelQuote()</t>
  </si>
  <si>
    <t>QuoteHandler.cancel</t>
  </si>
  <si>
    <t>Own quote, not CONSUMED.</t>
  </si>
  <si>
    <t>Quote: -&gt; CANCELLED</t>
  </si>
  <si>
    <t>Quote greyed out</t>
  </si>
  <si>
    <t>UJ-05  Apply for a Policy (standard product)</t>
  </si>
  <si>
    <t>Customer submits the form on /customer/policies/new.</t>
  </si>
  <si>
    <t>Signed in as CUSTOMER; product ACTIVE with complete trigger config; optional ACCEPTED quote.</t>
  </si>
  <si>
    <t>Policy PENDING with captured trigger snapshot; quote CONSUMED; underwriters notified.</t>
  </si>
  <si>
    <t>SPA -&gt; Gateway -&gt; PRODUCT -&gt; PRODUCT-SERVICE -&gt; FINANCIAL-SERVICE -&gt; PRODUCT-SERVICE -&gt; NOTIFICATION-SERVICE</t>
  </si>
  <si>
    <t>/customer/policies/new (CustomerPolicyNewComponent)</t>
  </si>
  <si>
    <t>Opens form (optionally from a quote)</t>
  </si>
  <si>
    <t>loadProducts(); QuoteService.getQuote(quoteId); ZoneService.getActiveZones()</t>
  </si>
  <si>
    <t>/api/products  |  /api/financial/quotes/{quoteId}  |  /api/triggers/zones/active</t>
  </si>
  <si>
    <t>ProductHandler.getProducts / QuoteHandler.findById / LocationZoneHandler.getActive</t>
  </si>
  <si>
    <t>Quote pre-fills product, zone, sum insured and term.</t>
  </si>
  <si>
    <t>Application form</t>
  </si>
  <si>
    <t>Submits application</t>
  </si>
  <si>
    <t>createPolicy() -&gt; PolicyService.createPolicy()</t>
  </si>
  <si>
    <t>PolicyHandler.createPolicy</t>
  </si>
  <si>
    <t>PolicyService.createPolicy() -&gt; createApplication()</t>
  </si>
  <si>
    <t>Product must be ACTIVE (404); sum insured &amp; term within limits; 409 if a PENDING application exists for same product; location zone required.</t>
  </si>
  <si>
    <t>(continues below - same request)</t>
  </si>
  <si>
    <t>Product-Svc (system)</t>
  </si>
  <si>
    <t>Validate quote (only when quoteId sent)</t>
  </si>
  <si>
    <t>QuoteHandler.validateInternal</t>
  </si>
  <si>
    <t>Quote must belong to customer, match product/zone/SI/term, be ACCEPTED and not expired; otherwise 400 with validationReason.</t>
  </si>
  <si>
    <t>Product -&gt; Financial (Eureka lb://FINANCIAL-SERVICE, X-Gateway-Key)</t>
  </si>
  <si>
    <t>quotes (may mark EXPIRED)</t>
  </si>
  <si>
    <t>Quote premium becomes policy premium</t>
  </si>
  <si>
    <t>Price application (only when no quote)</t>
  </si>
  <si>
    <t>QuoteHandler.priceInternal</t>
  </si>
  <si>
    <t>QuoteService.priceInternal()</t>
  </si>
  <si>
    <t>Uses active pricing rule; if Financial-Svc unavailable, Product-Svc falls back to a flat temporary premium.</t>
  </si>
  <si>
    <t>Product -&gt; Financial</t>
  </si>
  <si>
    <t>read pricing_rules</t>
  </si>
  <si>
    <t>Premium</t>
  </si>
  <si>
    <t>Persist application + snapshot + consume quote</t>
  </si>
  <si>
    <t>PolicyService.savePendingApplication()</t>
  </si>
  <si>
    <t>(internal logic)</t>
  </si>
  <si>
    <t>savePendingApplication(), resolveSnapshot(), recordHistory(), consumeQuoteIfPresent()</t>
  </si>
  <si>
    <t>Trigger snapshot copies product threshold/operator/aggregation/window so later threshold changes do not affect this policy.</t>
  </si>
  <si>
    <t>Product -&gt; Financial PUT /internal/financial/quotes/{quoteId}/consume</t>
  </si>
  <si>
    <t>policies, policy_trigger_snapshots, policy_status_history, (financial) quotes</t>
  </si>
  <si>
    <t>Policy: -&gt; PENDING; Quote: ACCEPTED -&gt; CONSUMED</t>
  </si>
  <si>
    <t>Notify &amp; audit</t>
  </si>
  <si>
    <t>NotificationService.notifyPolicySubmitted(), notifyPolicyPendingReview(), audit()</t>
  </si>
  <si>
    <t>/internal/notifications, /internal/audit-events</t>
  </si>
  <si>
    <t>NotificationService.create() / AuditEventService.create()</t>
  </si>
  <si>
    <t>Notification to customer (POLICY_SUBMITTED) and to roles UNDERWRITER + ADMIN (Policy Pending Review).</t>
  </si>
  <si>
    <t>-&gt; Notification-Svc POST /internal/notifications; -&gt; Notification-Svc POST /internal/audit-events (POLICY_APPLIED)</t>
  </si>
  <si>
    <t>notifications, delivery_attempts, audit_events</t>
  </si>
  <si>
    <t>POLICY_SUBMITTED; underwriter queue alert</t>
  </si>
  <si>
    <t>SPA shows 'Application submitted - pending underwriting'; redirect to /customer/policies</t>
  </si>
  <si>
    <t>UJ-06  Custom (Customer-Defined) Parametric Policy</t>
  </si>
  <si>
    <t>Customer chooses 'Custom policy' tab on /customer/policies/new.</t>
  </si>
  <si>
    <t>Signed in as CUSTOMER; target zone ACTIVE.</t>
  </si>
  <si>
    <t>Customer-defined product created and synced to Trigger-Svc; policy PENDING.</t>
  </si>
  <si>
    <t>/customer/policies/new (custom tab)</t>
  </si>
  <si>
    <t>Defines trigger + SI + term and submits</t>
  </si>
  <si>
    <t>createCustomPolicy() -&gt; PolicyService.createCustomPolicy()</t>
  </si>
  <si>
    <t>PolicyHandler.createCustomPolicy</t>
  </si>
  <si>
    <t>Zone &gt; 0, SI &gt; 0, term &gt; 0; trigger fields validated for peril/measurement/unit compatibility.</t>
  </si>
  <si>
    <t>(continues)</t>
  </si>
  <si>
    <t>Create customer-defined product</t>
  </si>
  <si>
    <t>ProductService.createCustomerDefinedProduct()</t>
  </si>
  <si>
    <t>(internal)</t>
  </si>
  <si>
    <t>createCustomerDefinedProduct() -&gt; syncDefinition()</t>
  </si>
  <si>
    <t>Product code CUSTOM-&lt;customerId&gt;-&lt;8 hex&gt;; min=max SI and term = requested; customerDefined = true.</t>
  </si>
  <si>
    <t>Product -&gt; Trigger-Svc PUT /internal/triggers/products/{productId}/definition (TriggerDefinitionHandler.syncProductDefinition -&gt; ProductTriggerSyncService)</t>
  </si>
  <si>
    <t>products, (trigger) trigger_definitions</t>
  </si>
  <si>
    <t>Product triggerSyncStatus: SYNCED / FAILED</t>
  </si>
  <si>
    <t>Apply for policy on the new product</t>
  </si>
  <si>
    <t>createApplication()</t>
  </si>
  <si>
    <t>Same chain as UJ-05 (pricing via Financial-Svc, snapshot from request trigger data).</t>
  </si>
  <si>
    <t>Product -&gt; Financial POST /internal/financial/pricing/calculate; -&gt; Notification-Svc POST /internal/notifications; -&gt; Notification-Svc POST /internal/audit-events</t>
  </si>
  <si>
    <t>policies, policy_trigger_snapshots, policy_status_history</t>
  </si>
  <si>
    <t>Policy: -&gt; PENDING</t>
  </si>
  <si>
    <t>POLICY_SUBMITTED</t>
  </si>
  <si>
    <t>Policy listed under My Policies as PENDING</t>
  </si>
  <si>
    <t>UJ-07  Underwriting Review (Approve / Reject Policy)</t>
  </si>
  <si>
    <t>Underwriter opens queue at /underwriter/policies.</t>
  </si>
  <si>
    <t>Policy in PENDING; reviewer has ROLE_UNDERWRITER or ROLE_ADMIN.</t>
  </si>
  <si>
    <t>Policy ACTIVE with start/end dates (or REJECTED with reason); customer notified.</t>
  </si>
  <si>
    <t>SPA -&gt; Gateway -&gt; PRODUCT-SERVICE -&gt; PRODUCT -&gt; PRODUCT-SERVICE</t>
  </si>
  <si>
    <t>Underwriter</t>
  </si>
  <si>
    <t>Opens dashboard</t>
  </si>
  <si>
    <t>loadReviewPolicies(), loadAdminPolicies()</t>
  </si>
  <si>
    <t>/api/policies/review/pending  |  /api/policies/admin/all</t>
  </si>
  <si>
    <t>PolicyHandler.getPendingPolicies / getAllPolicies</t>
  </si>
  <si>
    <t>PolicyService.getPendingPolicies() / getAllPolicies()</t>
  </si>
  <si>
    <t>UNDERWRITER / ADMIN.</t>
  </si>
  <si>
    <t>KPI cards + pending queue</t>
  </si>
  <si>
    <t>/underwriter/policies/:policyId (UnderwriterPolicyDetailComponent)</t>
  </si>
  <si>
    <t>Opens application</t>
  </si>
  <si>
    <t>loadAdminPolicy(); PolicyService.getPolicySnapshot(); UserService.getUser()</t>
  </si>
  <si>
    <t>/api/policies/admin/{policyId}  |  /api/policies/{policyId}/snapshot  |  /api/users/{userId}</t>
  </si>
  <si>
    <t>PRODUCT / AUTH</t>
  </si>
  <si>
    <t>PolicyHandler.getPolicy / getPolicySnapshot / UserHandler.getUser</t>
  </si>
  <si>
    <t>PolicyService.getPolicy(), getPolicySnapshot() / UserProfileService.getUser()</t>
  </si>
  <si>
    <t>Staff may read any policy and customer profile.</t>
  </si>
  <si>
    <t>Application + captured trigger + applicant details</t>
  </si>
  <si>
    <t>Clicks 'Approve'</t>
  </si>
  <si>
    <t>approvePolicy() -&gt; PolicyService.approvePolicy()</t>
  </si>
  <si>
    <t>PolicyHandler.approvePolicy</t>
  </si>
  <si>
    <t>Only PENDING (409 otherwise); zone must be present. startDate = today (or day after the renewed policy ends); endDate = start + termMonths; reviewedBy recorded.</t>
  </si>
  <si>
    <t>-&gt; Notification-Svc POST /internal/notifications (POLICY_APPROVED); -&gt; Notification-Svc POST /internal/audit-events (POLICY_APPROVED)</t>
  </si>
  <si>
    <t>policies, policy_status_history</t>
  </si>
  <si>
    <t>Policy: PENDING -&gt; ACTIVE</t>
  </si>
  <si>
    <t>Customer notified POLICY_APPROVED</t>
  </si>
  <si>
    <t>Queue refreshed; decision appears in /underwriter/history</t>
  </si>
  <si>
    <t>Underwriter (alt)</t>
  </si>
  <si>
    <t>Clicks 'Reject' with reason</t>
  </si>
  <si>
    <t>rejectPolicy() -&gt; PolicyService.rejectPolicy()</t>
  </si>
  <si>
    <t>PolicyHandler.rejectPolicy</t>
  </si>
  <si>
    <t>Only PENDING; reason mandatory, &lt;= 500 chars.</t>
  </si>
  <si>
    <t>-&gt; Notification-Svc POST /internal/notifications (POLICY_REJECTED); -&gt; Notification-Svc POST /internal/audit-events</t>
  </si>
  <si>
    <t>Policy: PENDING -&gt; REJECTED</t>
  </si>
  <si>
    <t>Customer notified with reason</t>
  </si>
  <si>
    <t>Queue refreshed</t>
  </si>
  <si>
    <t>/underwriter/history (UnderwriterReviewHistoryComponent)</t>
  </si>
  <si>
    <t>Reviews own decisions</t>
  </si>
  <si>
    <t>PolicyHandler.getReviewHistory</t>
  </si>
  <si>
    <t>History rows PENDING-&gt;ACTIVE/REJECTED changed by caller.</t>
  </si>
  <si>
    <t>Decision history table</t>
  </si>
  <si>
    <t>UJ-08  Premium Payment (mock gateway)</t>
  </si>
  <si>
    <t>Customer clicks 'Pay premium' on /customer/payments.</t>
  </si>
  <si>
    <t>Policy owned by customer; either bound to a CONSUMED quote or ACTIVE without quote; no SUCCESS payment yet.</t>
  </si>
  <si>
    <t>Payment SUCCESS; financial transaction ledger entry; customer notified.</t>
  </si>
  <si>
    <t>SPA -&gt; Gateway -&gt; FINANCIAL -&gt; FINANCIAL-SERVICE</t>
  </si>
  <si>
    <t>/customer/payments (CustomerPaymentsComponent)</t>
  </si>
  <si>
    <t>Opens payments</t>
  </si>
  <si>
    <t>loadMyPayments(), loadMyPayouts(), loadMyPolicies()</t>
  </si>
  <si>
    <t>/api/financial/payments/me  |  /api/financial/payouts/me  |  /api/policies/me</t>
  </si>
  <si>
    <t>FINANCIAL / PRODUCT</t>
  </si>
  <si>
    <t>PaymentHandler.findMine / PayoutHandler.findMine / PolicyHandler.getMyPolicies</t>
  </si>
  <si>
    <t>Customer only.</t>
  </si>
  <si>
    <t>Payments + payouts tabs, payable policies</t>
  </si>
  <si>
    <t>Chooses policy + method (MOCK_CARD / MOCK_BANK_TRANSFER / MOCK_UPI) -&gt; Pay</t>
  </si>
  <si>
    <t>createPayment() -&gt; PaymentService.createPayment()</t>
  </si>
  <si>
    <t>PaymentHandler.create</t>
  </si>
  <si>
    <t>PaymentService.create()</t>
  </si>
  <si>
    <t>Policy must belong to caller (403); quote optional; 409 if a SUCCESS payment already exists; amount = policy premium; attemptNumber = count + 1.</t>
  </si>
  <si>
    <t>Financial -&gt; Product-Svc GET /internal/policies/{policyId}; -&gt; Notification-Svc POST /internal/audit-events (PAYMENT_CREATED); -&gt; Notification-Svc POST /internal/notifications (PAYMENT_PENDING)</t>
  </si>
  <si>
    <t>Payment: -&gt; PENDING</t>
  </si>
  <si>
    <t>PAYMENT_PENDING</t>
  </si>
  <si>
    <t>Payment row PENDING</t>
  </si>
  <si>
    <t>/admin/payments (AdminPaymentsComponent)</t>
  </si>
  <si>
    <t>Confirms payment</t>
  </si>
  <si>
    <t>markPaymentSuccess() -&gt; PaymentService.markSuccess()</t>
  </si>
  <si>
    <t>PaymentHandler.success</t>
  </si>
  <si>
    <t>ADMIN only; only PENDING; optional externalReference.</t>
  </si>
  <si>
    <t>-&gt; Notification-Svc POST /internal/audit-events (PAYMENT_SUCCESS); -&gt; Notification-Svc POST /internal/notifications (PAYMENT_SUCCESS)</t>
  </si>
  <si>
    <t>payments, financial_transactions</t>
  </si>
  <si>
    <t>Payment: PENDING -&gt; SUCCESS</t>
  </si>
  <si>
    <t>PAYMENT_SUCCESS to customer</t>
  </si>
  <si>
    <t>Customer sees SUCCESS</t>
  </si>
  <si>
    <t>Admin (alt)</t>
  </si>
  <si>
    <t>Marks failed</t>
  </si>
  <si>
    <t>markPaymentFail() -&gt; PaymentService.markFail()</t>
  </si>
  <si>
    <t>PaymentHandler.fail</t>
  </si>
  <si>
    <t>Only PENDING; failureReason.</t>
  </si>
  <si>
    <t>-&gt; Notification-Svc POST /internal/audit-events; -&gt; Notification-Svc POST /internal/notifications (PAYMENT_FAILED)</t>
  </si>
  <si>
    <t>Payment: PENDING -&gt; FAILED</t>
  </si>
  <si>
    <t>PAYMENT_FAILED</t>
  </si>
  <si>
    <t>Admin / Scheduler</t>
  </si>
  <si>
    <t>/admin/payments or PaymentRetryScheduler (every 5 min)</t>
  </si>
  <si>
    <t>Retry failed payment</t>
  </si>
  <si>
    <t>PUT retry (UI) / scheduler</t>
  </si>
  <si>
    <t>PaymentHandler.retry</t>
  </si>
  <si>
    <t>Only FAILED; attempt + 1.</t>
  </si>
  <si>
    <t>-&gt; Notification-Svc POST /internal/audit-events; -&gt; Notification-Svc POST /internal/notifications (PAYMENT_RETRY)</t>
  </si>
  <si>
    <t>Payment: FAILED -&gt; PENDING</t>
  </si>
  <si>
    <t>PAYMENT_RETRY</t>
  </si>
  <si>
    <t>Refunds</t>
  </si>
  <si>
    <t>refundPayment() -&gt; PaymentService.refundPayment()</t>
  </si>
  <si>
    <t>PaymentHandler.refund</t>
  </si>
  <si>
    <t>Only SUCCESS.</t>
  </si>
  <si>
    <t>-&gt; Notification-Svc POST /internal/audit-events; -&gt; Notification-Svc POST /internal/notifications (PAYMENT_REFUNDED, REFUND_PROCESSED)</t>
  </si>
  <si>
    <t>Payment: SUCCESS -&gt; REFUNDED</t>
  </si>
  <si>
    <t>Refund notifications</t>
  </si>
  <si>
    <t>UJ-09  Policy Servicing (view, certificate, renew, auto-renew, cancel)</t>
  </si>
  <si>
    <t>Customer opens /customer/policies or a policy detail page.</t>
  </si>
  <si>
    <t>Customer owns the policy.</t>
  </si>
  <si>
    <t>Certificate downloaded / renewal application created / auto-renew toggled / pending application cancelled.</t>
  </si>
  <si>
    <t>/customer/policies (CustomerPoliciesComponent)</t>
  </si>
  <si>
    <t>Lists policies</t>
  </si>
  <si>
    <t>loadMyPolicies() -&gt; PolicyService.getMyPolicies()</t>
  </si>
  <si>
    <t>PolicyHandler.getMyPolicies</t>
  </si>
  <si>
    <t>Optional status filter.</t>
  </si>
  <si>
    <t>Policy cards with status badges</t>
  </si>
  <si>
    <t>Opens detail + trigger</t>
  </si>
  <si>
    <t>loadMyPolicy(); getPolicySnapshot()</t>
  </si>
  <si>
    <t>/api/policies/{policyId}  |  /api/policies/{policyId}/snapshot</t>
  </si>
  <si>
    <t>PolicyHandler.getMyPolicy / getPolicySnapshot</t>
  </si>
  <si>
    <t>Own policy only.</t>
  </si>
  <si>
    <t>Detail + captured trigger + measurement status panel</t>
  </si>
  <si>
    <t>Downloads certificate</t>
  </si>
  <si>
    <t>PolicyService.downloadCertificate()</t>
  </si>
  <si>
    <t>PolicyLifecycleHandler.customerCertificate</t>
  </si>
  <si>
    <t>Own policy.</t>
  </si>
  <si>
    <t>Product -&gt; Trigger-Svc GET /internal/triggers/zones/{zoneId}</t>
  </si>
  <si>
    <t>PDF file download</t>
  </si>
  <si>
    <t>Clicks 'Renew'</t>
  </si>
  <si>
    <t>PolicyLifecycleHandler.renew</t>
  </si>
  <si>
    <t>PolicyService.renewPolicy() -&gt; createRenewal()</t>
  </si>
  <si>
    <t>Only ACTIVE or EXPIRED; one pending renewal at a time.</t>
  </si>
  <si>
    <t>Product -&gt; Financial POST /internal/financial/pricing/calculate; -&gt; Notification-Svc POST /internal/notifications; -&gt; Notification-Svc POST /internal/audit-events (POLICY_RENEWAL_APPLIED)</t>
  </si>
  <si>
    <t>New policy: PENDING (renewedFromPolicyId)</t>
  </si>
  <si>
    <t>Renewal visible as PENDING</t>
  </si>
  <si>
    <t>Toggles auto-renew</t>
  </si>
  <si>
    <t>PolicyLifecycleHandler.autoRenew</t>
  </si>
  <si>
    <t>autoRenew flag</t>
  </si>
  <si>
    <t>Toggle state</t>
  </si>
  <si>
    <t>Cancels pending application</t>
  </si>
  <si>
    <t>cancelPolicy() -&gt; PolicyService.cancelPolicy()</t>
  </si>
  <si>
    <t>PolicyHandler.cancelPolicy</t>
  </si>
  <si>
    <t>Only PENDING policies can be cancelled.</t>
  </si>
  <si>
    <t>-&gt; Notification-Svc POST /internal/notifications (POLICY_CANCELLED); -&gt; Notification-Svc POST /internal/audit-events</t>
  </si>
  <si>
    <t>Policy: PENDING -&gt; CANCELLED</t>
  </si>
  <si>
    <t>POLICY_CANCELLED</t>
  </si>
  <si>
    <t>Status updated</t>
  </si>
  <si>
    <t>PolicyRenewalScheduler 01:30 daily / PolicyExpiryScheduler 01:00 daily</t>
  </si>
  <si>
    <t>Auto-renew &amp; expiry</t>
  </si>
  <si>
    <t>(scheduled)</t>
  </si>
  <si>
    <t>PolicyService.createAutomaticRenewal() / expirePolicy()</t>
  </si>
  <si>
    <t>autoRenew on: renewal application 14 days before end; off: reminders at 14 and 3 days; ACTIVE policies with endDate &lt;= today -&gt; EXPIRED.</t>
  </si>
  <si>
    <t>-&gt; Notification-Svc POST /internal/notifications (POLICY_RENEWAL_DUE, POLICY_EXPIRED)</t>
  </si>
  <si>
    <t>Policy: ACTIVE -&gt; EXPIRED</t>
  </si>
  <si>
    <t>Renewal / expiry notifications</t>
  </si>
  <si>
    <t>UJ-10  Admin Product Setup &amp; Trigger Threshold Management</t>
  </si>
  <si>
    <t>Admin opens /admin/products.</t>
  </si>
  <si>
    <t>Signed in as ADMIN; perils and zones configured.</t>
  </si>
  <si>
    <t>Product ACTIVE with complete trigger; threshold history maintained.</t>
  </si>
  <si>
    <t>SPA -&gt; Gateway -&gt; PRODUCT-SERVICE -&gt; FINANCIAL-SERVICE -&gt; PRODUCT-SERVICE</t>
  </si>
  <si>
    <t>/admin/products (AdminProductsComponent)</t>
  </si>
  <si>
    <t>Lists products</t>
  </si>
  <si>
    <t>loadAdminProducts() -&gt; ProductService.getAdminProducts()</t>
  </si>
  <si>
    <t>ProductHandler.getAllProducts</t>
  </si>
  <si>
    <t>ADMIN.</t>
  </si>
  <si>
    <t>All products, all statuses</t>
  </si>
  <si>
    <t>/admin/products/new (AdminProductNewComponent)</t>
  </si>
  <si>
    <t>Creates product</t>
  </si>
  <si>
    <t>createProduct() -&gt; ProductService.createProduct()</t>
  </si>
  <si>
    <t>ProductHandler.createProduct</t>
  </si>
  <si>
    <t>Unique product code (409); valid category; min &lt;= max SI/term; trigger config (peril, measurement type/unit compatible, threshold, operator, aggregation, window, min observations).</t>
  </si>
  <si>
    <t>-&gt; Notification-Svc POST /internal/notifications (PRODUCT_CREATED); -&gt; Notification-Svc POST /internal/audit-events (PRODUCT_CREATED)</t>
  </si>
  <si>
    <t>products, coverages</t>
  </si>
  <si>
    <t>Product: -&gt; DRAFT</t>
  </si>
  <si>
    <t>PRODUCT_CREATED</t>
  </si>
  <si>
    <t>Redirect to product list</t>
  </si>
  <si>
    <t>/admin/products/:productId (AdminProductEditComponent)</t>
  </si>
  <si>
    <t>Edits product</t>
  </si>
  <si>
    <t>updateProduct() -&gt; ProductService.updateProduct()</t>
  </si>
  <si>
    <t>ProductHandler.updateProduct</t>
  </si>
  <si>
    <t>Trigger must remain complete; if trigger changed a threshold-history row is written.</t>
  </si>
  <si>
    <t>-&gt; Notification-Svc POST /internal/notifications (PRODUCT_UPDATED); -&gt; Notification-Svc POST /internal/audit-events</t>
  </si>
  <si>
    <t>products, coverages, product_threshold_history</t>
  </si>
  <si>
    <t>PRODUCT_UPDATED</t>
  </si>
  <si>
    <t>Saved</t>
  </si>
  <si>
    <t>Activates product</t>
  </si>
  <si>
    <t>updateProductStatus() -&gt; ProductService.updateProductStatus()</t>
  </si>
  <si>
    <t>ProductHandler.updateStatus</t>
  </si>
  <si>
    <t>ACTIVE requires complete trigger; ARCHIVED requires no open policies.</t>
  </si>
  <si>
    <t>-&gt; Notification-Svc POST /internal/audit-events (PRODUCT_STATUS_CHANGED)</t>
  </si>
  <si>
    <t>Product: DRAFT -&gt; ACTIVE (-&gt; INACTIVE / ARCHIVED)</t>
  </si>
  <si>
    <t>Product visible in public catalogue</t>
  </si>
  <si>
    <t>DefaultPricingRuleScheduler (20 s after start, then every 60 s)</t>
  </si>
  <si>
    <t>Provision default pricing rule</t>
  </si>
  <si>
    <t>DefaultPricingRuleProvisioner.provisionMissingRules()</t>
  </si>
  <si>
    <t>Creates an ACTIVE default rule for each product lacking one, so quotes/pricing work.</t>
  </si>
  <si>
    <t>Financial -&gt; Product-Svc GET /internal/products; -&gt; Notification-Svc POST /internal/audit-events</t>
  </si>
  <si>
    <t>PricingRule: -&gt; ACTIVE</t>
  </si>
  <si>
    <t>/admin/product-thresholds -&gt; /admin/products/:id/threshold</t>
  </si>
  <si>
    <t>Changes threshold with reason</t>
  </si>
  <si>
    <t>updateProductThreshold() -&gt; ProductService.updateThreshold(); loadProductThresholdHistory()</t>
  </si>
  <si>
    <t>PUT / GET</t>
  </si>
  <si>
    <t>/api/products/admin/{productId}/threshold  |  /api/products/admin/{productId}/threshold-history</t>
  </si>
  <si>
    <t>ProductHandler.updateThreshold / getThresholdHistory</t>
  </si>
  <si>
    <t>ProductService.updateThreshold() / getThresholdHistory()</t>
  </si>
  <si>
    <t>Peril/measurement/unit compatibility; previous values captured. Existing policies keep their snapshot (existingPoliciesUpdated=false).</t>
  </si>
  <si>
    <t>-&gt; Notification-Svc POST /internal/audit-events (PRODUCT_THRESHOLD_UPDATED)</t>
  </si>
  <si>
    <t>products, product_threshold_history</t>
  </si>
  <si>
    <t>Old -&gt; new threshold shown with history</t>
  </si>
  <si>
    <t>Archives product</t>
  </si>
  <si>
    <t>deleteProduct() -&gt; ProductService.deleteProduct()</t>
  </si>
  <si>
    <t>ProductHandler.deleteProduct</t>
  </si>
  <si>
    <t>ProductService.deleteProduct()</t>
  </si>
  <si>
    <t>Blocked while PENDING/ACTIVE policies exist.</t>
  </si>
  <si>
    <t>Product: -&gt; ARCHIVED</t>
  </si>
  <si>
    <t>Removed from list</t>
  </si>
  <si>
    <t>UJ-11  Admin Reference Data: Zones, Perils, Pricing Rules</t>
  </si>
  <si>
    <t>Admin opens /admin/zones, /admin/perils or /admin/pricing-rules.</t>
  </si>
  <si>
    <t>Signed in as ADMIN.</t>
  </si>
  <si>
    <t>Reference data created/updated with audit trail.</t>
  </si>
  <si>
    <t>SPA -&gt; Gateway -&gt; TRIGGER-SERVICE -&gt; FINANCIAL-SERVICE</t>
  </si>
  <si>
    <t>/admin/zones (AdminZonesComponent)</t>
  </si>
  <si>
    <t>Lists / creates / edits zones</t>
  </si>
  <si>
    <t>loadZones(), createZone(), updateZone(), updateZoneStatus()</t>
  </si>
  <si>
    <t>GET / POST / PUT</t>
  </si>
  <si>
    <t>/api/triggers/zones  |  /api/triggers/zones/{zoneId}  |  /api/triggers/zones/{zoneId}/status</t>
  </si>
  <si>
    <t>TRIGGER-SERVICE :8087</t>
  </si>
  <si>
    <t>LocationZoneHandler.getAll / create / update / updateStatus</t>
  </si>
  <si>
    <t>LocationZoneService.*</t>
  </si>
  <si>
    <t>ADMIN for writes; unique zone code; lat/long ranges.</t>
  </si>
  <si>
    <t>-&gt; Notification-Svc POST /internal/audit-events (ZONE_*)</t>
  </si>
  <si>
    <t>Zone: ACTIVE / INACTIVE</t>
  </si>
  <si>
    <t>Zone table + map</t>
  </si>
  <si>
    <t>Archives zone</t>
  </si>
  <si>
    <t>archiveZone() -&gt; ZoneService.archiveZone()</t>
  </si>
  <si>
    <t>LocationZoneHandler.archive</t>
  </si>
  <si>
    <t>409 if pending/active policies reference the zone.</t>
  </si>
  <si>
    <t>Trigger -&gt; Product-Svc GET /internal/policies/zone/{zoneId}/has-active; -&gt; Notification-Svc POST /internal/audit-events</t>
  </si>
  <si>
    <t>Zone: -&gt; ARCHIVED</t>
  </si>
  <si>
    <t>/admin/perils (AdminPerilsComponent)</t>
  </si>
  <si>
    <t>Manages perils</t>
  </si>
  <si>
    <t>loadPerils(), createPeril(), updatePeril(), updatePerilStatus(), archivePeril()</t>
  </si>
  <si>
    <t>GET / POST / PUT / DELETE</t>
  </si>
  <si>
    <t>/api/triggers/perils  |  /api/triggers/perils/{perilId}  |  /api/triggers/perils/{perilId}/status</t>
  </si>
  <si>
    <t>PerilHandler.*</t>
  </si>
  <si>
    <t>PerilService.*</t>
  </si>
  <si>
    <t>ADMIN for writes; peril type (EXCESS_RAINFALL, FLOOD, DROUGHT, ...) and measurement type/unit.</t>
  </si>
  <si>
    <t>Peril: ACTIVE / INACTIVE / ARCHIVED</t>
  </si>
  <si>
    <t>/admin/pricing-rules (AdminPricingRulesComponent)</t>
  </si>
  <si>
    <t>Creates pricing rule</t>
  </si>
  <si>
    <t>createPricingRule() -&gt; PricingRuleService.createRule()</t>
  </si>
  <si>
    <t>PricingRuleHandler.create</t>
  </si>
  <si>
    <t>PricingRuleService.create()</t>
  </si>
  <si>
    <t>ADMIN; product must be ACTIVE; zone (optional) must be ACTIVE; rates/factors positive.</t>
  </si>
  <si>
    <t>Financial -&gt; Product-Svc GET /internal/products/{id}; Financial -&gt; Trigger-Svc GET /internal/triggers/zones/{zoneId}; -&gt; Notification-Svc POST /internal/notifications (PRICING_RULE_CREATED); -&gt; Notification-Svc POST /internal/audit-events</t>
  </si>
  <si>
    <t>Rule: -&gt; DRAFT/ACTIVE</t>
  </si>
  <si>
    <t>PRICING_RULE_CREATED</t>
  </si>
  <si>
    <t>Rule listed</t>
  </si>
  <si>
    <t>Updates / changes status / archives</t>
  </si>
  <si>
    <t>updatePricingRule(), updatePricingRuleStatus(), archivePricingRule()</t>
  </si>
  <si>
    <t>PUT / PUT / DELETE</t>
  </si>
  <si>
    <t>/api/financial/pricing-rules/{ruleId}  |  .../{ruleId}/status  |  .../{ruleId}</t>
  </si>
  <si>
    <t>PricingRuleHandler.update / updateStatus / archive</t>
  </si>
  <si>
    <t>PricingRuleService.update() / updateStatus() / archive()</t>
  </si>
  <si>
    <t>Re-validates product &amp; zone.</t>
  </si>
  <si>
    <t>-&gt; Notification-Svc POST /internal/notifications (PRICING_RULE_UPDATED); -&gt; Notification-Svc POST /internal/audit-events</t>
  </si>
  <si>
    <t>Rule status changes</t>
  </si>
  <si>
    <t>UJ-12  Automatic Parametric Claim via Measurement Console (primary flow)</t>
  </si>
  <si>
    <t>Admin enters a current value on /admin/current-measurements.</t>
  </si>
  <si>
    <t>Product ACTIVE; zone ACTIVE; ACTIVE policies with trigger snapshots in that zone.</t>
  </si>
  <si>
    <t>VERIFIED trigger event; one AUTO_TRIGGERED claim (SUBMITTED, claimedAmount = sum insured) per matched policy; customers &amp; officers notified.</t>
  </si>
  <si>
    <t>SPA -&gt; Gateway -&gt; PRODUCT -&gt; TRIGGER-SERVICE -&gt; PRODUCT-SERVICE -&gt; TRIGGER-SERVICE -&gt; CLAIMS-SERVICE -&gt; NOTIFICATION-SERVICE -&gt; NOTIFICATION</t>
  </si>
  <si>
    <t>/admin/current-measurements (AdminCurrentMeasurementsComponent)</t>
  </si>
  <si>
    <t>Opens console</t>
  </si>
  <si>
    <t>productService.getAdminProducts(); zoneService.getActiveZones(); measurementService.getCurrentMeasurements(); ProductService.getAdminMeasurementStatus()</t>
  </si>
  <si>
    <t>/api/products/admin/all  |  /api/triggers/zones/active  |  /api/triggers/current-measurements  |  /api/products/admin/measurement-status</t>
  </si>
  <si>
    <t>PRODUCT / TRIGGER</t>
  </si>
  <si>
    <t>ProductHandler.getAllProducts / getMeasurementStatus; MeasurementHandler.getCurrentMeasurementSnapshots</t>
  </si>
  <si>
    <t>Measurement status view pulls current values from Trigger-Svc.</t>
  </si>
  <si>
    <t>Product -&gt; Trigger-Svc GET /internal/triggers/measurements/current</t>
  </si>
  <si>
    <t>Grid of product x zone with value vs threshold</t>
  </si>
  <si>
    <t>Enters current value for product + zone and submits</t>
  </si>
  <si>
    <t>measurementService.process()</t>
  </si>
  <si>
    <t>MeasurementHandler.processCurrentMeasurement</t>
  </si>
  <si>
    <t>ADMIN only; idempotencyKey - duplicate request returns previous result; product must be ACTIVE with trigger config; zone must be ACTIVE.</t>
  </si>
  <si>
    <t>Trigger -&gt; Product-Svc GET /internal/products/{productId}</t>
  </si>
  <si>
    <t>idempotency_records (check)</t>
  </si>
  <si>
    <t>Trigger-Svc (system)</t>
  </si>
  <si>
    <t>Store value &amp; load active policies</t>
  </si>
  <si>
    <t>/internal/policies/active-for-trigger?productId&amp;locationZoneId</t>
  </si>
  <si>
    <t>ACTIVE policies of product in zone with trigger snapshots.</t>
  </si>
  <si>
    <t>Trigger -&gt; Product (lb://PRODUCT-SERVICE)</t>
  </si>
  <si>
    <t>current_measurements (upsert)</t>
  </si>
  <si>
    <t>Compare value with each policy snapshot</t>
  </si>
  <si>
    <t>MeasurementService.buildProcessingResult()</t>
  </si>
  <si>
    <t>compare(current, snapshot.threshold, snapshot.operator)</t>
  </si>
  <si>
    <t>Each policy judged against ITS OWN captured threshold/operator. No match -&gt; result matched=false, no event.</t>
  </si>
  <si>
    <t>trigger_events (if matched)</t>
  </si>
  <si>
    <t>TriggerEvent: -&gt; VERIFIED (ref TEV-&lt;uuid&gt;)</t>
  </si>
  <si>
    <t>Create automatic claims</t>
  </si>
  <si>
    <t>CLAIMS-SERVICE :8083</t>
  </si>
  <si>
    <t>ClaimService.createClaimsFromTriggerEvent()</t>
  </si>
  <si>
    <t>Idempotent per (policyId, triggerEventId) -&gt; EXISTING; claimedAmount = sum insured; claimSource AUTO_TRIGGERED; trigger values copied onto claim.</t>
  </si>
  <si>
    <t>Trigger -&gt; Claims (lb://CLAIMS-SERVICE); Claims -&gt; Notification-Svc POST /internal/notifications (CLAIM_SUBMITTED to customer, pending review to CLAIMS_OFFICER)</t>
  </si>
  <si>
    <t>claims, claim_timeline</t>
  </si>
  <si>
    <t>Claim: -&gt; SUBMITTED</t>
  </si>
  <si>
    <t>CLAIM_SUBMITTED</t>
  </si>
  <si>
    <t>Per-policy results CREATED / EXISTING / FAILED</t>
  </si>
  <si>
    <t>Finalise event &amp; audit</t>
  </si>
  <si>
    <t>triggerEventRepository.save(); NotificationService.audit(); idempotencyService.record()</t>
  </si>
  <si>
    <t>AuditEventHandler.create</t>
  </si>
  <si>
    <t>AuditEventService.create()</t>
  </si>
  <si>
    <t>claimsCreatedCount &amp; processedAt stored on event.</t>
  </si>
  <si>
    <t>-&gt; Notification-Svc POST /internal/audit-events (MEASUREMENT_RECORDED)</t>
  </si>
  <si>
    <t>trigger_events, idempotency_records, audit_events</t>
  </si>
  <si>
    <t>Console shows 'matched N policies, claims created'</t>
  </si>
  <si>
    <t>/customer/dashboard, /customer/claims, header bell</t>
  </si>
  <si>
    <t>Sees new automatic claim</t>
  </si>
  <si>
    <t>SSE NotificationPushService.connect(); loadMyClaims()</t>
  </si>
  <si>
    <t>/api/notifications/me/stream?access_token=...  |  /api/claims/me</t>
  </si>
  <si>
    <t>NOTIFICATION / CLAIMS</t>
  </si>
  <si>
    <t>NotificationHandler.stream / ClaimHandler.getMyClaims</t>
  </si>
  <si>
    <t>NotificationService.stream() / ClaimService.getMyClaims()</t>
  </si>
  <si>
    <t>SSE token passed as query param (gateway allows for this path).</t>
  </si>
  <si>
    <t>Live toast + unread badge</t>
  </si>
  <si>
    <t>Claim listed as SUBMITTED (AUTO_TRIGGERED)</t>
  </si>
  <si>
    <t>UJ-13  Trigger Monitoring, Event Validation &amp; Verification (definition-based flow)</t>
  </si>
  <si>
    <t>MonitorRunService scheduled scan (every 60 s) or admin 'Scan now'.</t>
  </si>
  <si>
    <t>ACTIVE trigger definitions; VALIDATED observations (demo feed generates readings every 60 s).</t>
  </si>
  <si>
    <t>Trigger event VERIFIED; Product-Svc creates automatic claims for eligible policies; event later PROCESSED.</t>
  </si>
  <si>
    <t>SPA -&gt; Gateway -&gt; TRIGGER-SERVICE -&gt; CLAIMS-SERVICE -&gt; TRIGGER-SERVICE</t>
  </si>
  <si>
    <t>DemoObservationGenerator (every 60 s, 24 h backfill on start)</t>
  </si>
  <si>
    <t>Generate readings</t>
  </si>
  <si>
    <t>@Scheduled generateNextReading()</t>
  </si>
  <si>
    <t>DemoObservationGenerator.generateReadings()</t>
  </si>
  <si>
    <t>Enabled by demo.feed.enabled.</t>
  </si>
  <si>
    <t>Observation: RECEIVED/VALIDATED</t>
  </si>
  <si>
    <t>API only (no SPA screen)</t>
  </si>
  <si>
    <t>Validates observations</t>
  </si>
  <si>
    <t>(API)</t>
  </si>
  <si>
    <t>PUT / POST</t>
  </si>
  <si>
    <t>/api/triggers/observations/validation/{observationId}/validate  |  /api/triggers/observations/validation/validate-all</t>
  </si>
  <si>
    <t>ObservationValidationHandler.validate / validateAll</t>
  </si>
  <si>
    <t>ObservationValidationService.validateObservation() / validateAllReceived()</t>
  </si>
  <si>
    <t>Only RECEIVED observations; only VALIDATED ones count.</t>
  </si>
  <si>
    <t>Observation: RECEIVED -&gt; VALIDATED (or REJECTED)</t>
  </si>
  <si>
    <t>MonitorRunService @Scheduled (60 s) or POST scan</t>
  </si>
  <si>
    <t>Scan all ACTIVE definitions</t>
  </si>
  <si>
    <t>runScheduledScan() / triggerManualScan()</t>
  </si>
  <si>
    <t>MonitorRunHandler.triggerScan</t>
  </si>
  <si>
    <t>MonitorRunService.executeScan() -&gt; evaluateDefinition()</t>
  </si>
  <si>
    <t>Skips if a run is RUNNING (409 for manual). Window = now - observationWindowHours; count &lt; min -&gt; INSUFFICIENT_OBSERVATIONS; aggregate (SUM/AVG/MIN/MAX/LATEST) vs threshold -&gt; MATCHED/NOT_MATCHED.</t>
  </si>
  <si>
    <t>monitor_runs, trigger_evaluations, trigger_events</t>
  </si>
  <si>
    <t>Evaluation: MATCHED; TriggerEvent: -&gt; DETECTED</t>
  </si>
  <si>
    <t>Run summary (observations processed, events created)</t>
  </si>
  <si>
    <t>Admin / Officer</t>
  </si>
  <si>
    <t>/admin/trigger-events (AdminTriggerEventsComponent), /claims-officer/dashboard</t>
  </si>
  <si>
    <t>Reviews detected events</t>
  </si>
  <si>
    <t>loadTriggerEvents() -&gt; TriggerEventService.getAllEvents()</t>
  </si>
  <si>
    <t>/api/triggers/events  |  /api/triggers/events/status/{status}</t>
  </si>
  <si>
    <t>TriggerEventHandler.getAll / getByStatus</t>
  </si>
  <si>
    <t>ADMIN / UNDERWRITER / CLAIMS_OFFICER can view.</t>
  </si>
  <si>
    <t>Event list with filters</t>
  </si>
  <si>
    <t>API only (SPA page lists events but has no action buttons)</t>
  </si>
  <si>
    <t>Starts validation</t>
  </si>
  <si>
    <t>TriggerEventHandler.startValidation</t>
  </si>
  <si>
    <t>Only DETECTED.</t>
  </si>
  <si>
    <t>Event: DETECTED -&gt; UNDER_VALIDATION</t>
  </si>
  <si>
    <t>API only</t>
  </si>
  <si>
    <t>Verifies event with notes</t>
  </si>
  <si>
    <t>TriggerEventHandler.verify -&gt; processDecision</t>
  </si>
  <si>
    <t>TriggerEventService.verify()</t>
  </si>
  <si>
    <t>Only UNDER_VALIDATION; notes required.</t>
  </si>
  <si>
    <t>-&gt; Notification-Svc POST /internal/notifications (TRIGGER_VERIFIED); Trigger -&gt; Product-Svc POST /internal/products/verified-event (errors swallowed); -&gt; Notification-Svc POST /internal/audit-events (TRIGGER_VERIFIED)</t>
  </si>
  <si>
    <t>Event: UNDER_VALIDATION -&gt; VERIFIED</t>
  </si>
  <si>
    <t>TRIGGER_VERIFIED</t>
  </si>
  <si>
    <t>For each ACTIVE policy of product: check eligibility</t>
  </si>
  <si>
    <t>PolicyTriggerEligibilityService.checkEligibility()</t>
  </si>
  <si>
    <t>Policy ACTIVE, has product/zone/dates; latest VERIFIED/PROCESSED event for product+zone within coverage; event must satisfy the policy snapshot.</t>
  </si>
  <si>
    <t>Product -&gt; Trigger; Trigger -&gt; Product-Svc GET /internal/policies/{policyId}</t>
  </si>
  <si>
    <t>eligible + triggerEventId + aggregatedValue</t>
  </si>
  <si>
    <t>Create automatic claim per eligible policy</t>
  </si>
  <si>
    <t>ClaimHandler.createInternalClaim</t>
  </si>
  <si>
    <t>Re-checks policy ACTIVE and eligibility; rejects duplicate claim for same event.</t>
  </si>
  <si>
    <t>Claims -&gt; Product-Svc GET /internal/policies/{id}; Claims -&gt; Trigger-Svc GET /internal/triggers/policy/{policyId}/eligibility</t>
  </si>
  <si>
    <t>Claim: -&gt; SUBMITTED (AUTO_TRIGGERED)</t>
  </si>
  <si>
    <t>Response: claimsCreated count</t>
  </si>
  <si>
    <t>9</t>
  </si>
  <si>
    <t>Rejects event</t>
  </si>
  <si>
    <t>TriggerEventHandler.reject -&gt; processDecision</t>
  </si>
  <si>
    <t>TriggerEventService.reject()</t>
  </si>
  <si>
    <t>Only UNDER_VALIDATION.</t>
  </si>
  <si>
    <t>-&gt; Notification-Svc POST /internal/notifications (TRIGGER_REJECTED); -&gt; Notification-Svc POST /internal/audit-events</t>
  </si>
  <si>
    <t>Event: UNDER_VALIDATION -&gt; REJECTED</t>
  </si>
  <si>
    <t>TRIGGER_REJECTED</t>
  </si>
  <si>
    <t>10</t>
  </si>
  <si>
    <t>API only / automatic on payout success</t>
  </si>
  <si>
    <t>Mark event processed</t>
  </si>
  <si>
    <t>(API) / TriggerServiceClient.markEventProcessed()</t>
  </si>
  <si>
    <t>/api/triggers/events/{eventId}/process  |  /internal/triggers/events/{eventId}/processed</t>
  </si>
  <si>
    <t>TriggerEventHandler.process / markProcessed</t>
  </si>
  <si>
    <t>TriggerEventService.processEvent() / markEventProcessed()</t>
  </si>
  <si>
    <t>Only VERIFIED; manual path is idempotent per definition + window.</t>
  </si>
  <si>
    <t>trigger_events, idempotency_records</t>
  </si>
  <si>
    <t>Event: VERIFIED -&gt; PROCESSED</t>
  </si>
  <si>
    <t>UJ-14  Demo Observation &amp; Threshold Simulation</t>
  </si>
  <si>
    <t>Admin uses the demo API (measurement console 'Generate crossing value').</t>
  </si>
  <si>
    <t>ACTIVE trigger definition for product + zone; ACTIVE policies.</t>
  </si>
  <si>
    <t>Observation, evaluation, VERIFIED event and automatic claims created; customers notified.</t>
  </si>
  <si>
    <t>SPA -&gt; Gateway -&gt; TRIGGER-SERVICE -&gt; PRODUCT-SERVICE -&gt; CLAIMS -&gt; TRIGGER-SERVICE</t>
  </si>
  <si>
    <t>API only (demo endpoint)</t>
  </si>
  <si>
    <t>Posts demo observation (validateImmediately, evaluateImmediately, autoVerifyMatchedEvent, createAutomaticClaims)</t>
  </si>
  <si>
    <t>DemoObservationHandler.recordAndEvaluate</t>
  </si>
  <si>
    <t>ADMIN; definition must exist, be ACTIVE and match zone/measurement.</t>
  </si>
  <si>
    <t>Observation: RECEIVED -&gt; VALIDATED</t>
  </si>
  <si>
    <t>Evaluate definition</t>
  </si>
  <si>
    <t>TriggerEvaluationService.evaluate()</t>
  </si>
  <si>
    <t>evaluate() -&gt; evaluateDefinition()</t>
  </si>
  <si>
    <t>Aggregate VALIDATED observations in window vs threshold.</t>
  </si>
  <si>
    <t>Evaluation: MATCHED / NOT_MATCHED / INSUFFICIENT</t>
  </si>
  <si>
    <t>Create event (dedup per window) and auto-verify</t>
  </si>
  <si>
    <t>createEventIfRequired(), autoVerifyEvent()</t>
  </si>
  <si>
    <t>Existing non-rejected event for same definition+window reused.</t>
  </si>
  <si>
    <t>Event: DETECTED -&gt; VERIFIED</t>
  </si>
  <si>
    <t>Find eligible policies</t>
  </si>
  <si>
    <t>ACTIVE, same zone, coverage overlaps event window.</t>
  </si>
  <si>
    <t>Trigger -&gt; Product</t>
  </si>
  <si>
    <t>Create claims + customer notifications</t>
  </si>
  <si>
    <t>ClaimsServiceClient.createClaimsFromTriggerEvent(); InternalNotificationClient.createInternalNotification()</t>
  </si>
  <si>
    <t>/internal/claims/from-trigger-event  |  /internal/notifications</t>
  </si>
  <si>
    <t>CLAIMS / NOTIFICATION</t>
  </si>
  <si>
    <t>ClaimHandler.createClaimsFromTriggerEvent / NotificationHandler.create</t>
  </si>
  <si>
    <t>ClaimService.createClaimsFromTriggerEvent() / NotificationService.create()</t>
  </si>
  <si>
    <t>Notification idempotency key AUTO_CLAIM:&lt;claimId&gt;:CUSTOMER:&lt;customerId&gt;.</t>
  </si>
  <si>
    <t>Trigger -&gt; Claims; Trigger -&gt; Notification</t>
  </si>
  <si>
    <t>claims, claim_timeline, notifications</t>
  </si>
  <si>
    <t>AUTOMATIC_CLAIM_CREATED</t>
  </si>
  <si>
    <t>DemoObservationResponse with evaluation, event, claims created</t>
  </si>
  <si>
    <t>API</t>
  </si>
  <si>
    <t>Simulate threshold crossing for a product</t>
  </si>
  <si>
    <t>DemoSimulationHandler.simulateThresholdCrossing</t>
  </si>
  <si>
    <t>ADMIN; generates crossing observations per zone.</t>
  </si>
  <si>
    <t>observations, trigger_evaluations, trigger_events</t>
  </si>
  <si>
    <t>Per-zone simulation results</t>
  </si>
  <si>
    <t>UJ-15  Customer Manual Claim (exception) with Evidence</t>
  </si>
  <si>
    <t>Customer opens /customer/claims/new.</t>
  </si>
  <si>
    <t>Customer owns an ACTIVE policy.</t>
  </si>
  <si>
    <t>Claim SUBMITTED (AUTO_TRIGGERED if eligible, else MANUAL_EXCEPTION flagged for manual review) with documents.</t>
  </si>
  <si>
    <t>SPA -&gt; Gateway -&gt; PRODUCT-SERVICE -&gt; CLAIMS-SERVICE</t>
  </si>
  <si>
    <t>/customer/claims/new (CustomerClaimNewComponent)</t>
  </si>
  <si>
    <t>Opens form</t>
  </si>
  <si>
    <t>loadMyPolicies(); PolicyService.getPolicySnapshot()</t>
  </si>
  <si>
    <t>/api/policies/me  |  /api/policies/{policyId}/snapshot</t>
  </si>
  <si>
    <t>PolicyHandler.getMyPolicies / getPolicySnapshot</t>
  </si>
  <si>
    <t>Only ACTIVE policies selectable.</t>
  </si>
  <si>
    <t>Policy picker + trigger explanation</t>
  </si>
  <si>
    <t>Submits claim (incident date/type/location, amount, claimSource, evidence, confirmation)</t>
  </si>
  <si>
    <t>createClaim() -&gt; ClaimService.createClaim()</t>
  </si>
  <si>
    <t>ClaimHandler.createClaim</t>
  </si>
  <si>
    <t>Policy owned &amp; ACTIVE; incident within coverage. MANUAL_EXCEPTION: customerConfirmedLoss=true + evidenceDescription required, no duplicate manual claim same date. AUTO: Trigger-Svc must return eligible, incident matches trigger, no duplicate for event.</t>
  </si>
  <si>
    <t>Claims -&gt; Product-Svc GET /internal/policies/{id}; (auto) Claims -&gt; Trigger-Svc GET /internal/triggers/policy/{policyId}/eligibility; -&gt; Notification-Svc POST /internal/notifications (CLAIM_SUBMITTED / MANUAL_CLAIM_SUBMITTED, pending review); -&gt; Notification-Svc POST /internal/audit-events (CLAIM_SUBMITTED)</t>
  </si>
  <si>
    <t>Claim: -&gt; SUBMITTED (manualReviewRequired for MANUAL_EXCEPTION)</t>
  </si>
  <si>
    <t>Customer + claims officers notified</t>
  </si>
  <si>
    <t>(continues with upload)</t>
  </si>
  <si>
    <t>/customer/claims/new (same effect)</t>
  </si>
  <si>
    <t>Uploads photos / PDFs</t>
  </si>
  <si>
    <t>createClaim$ effect -&gt; ClaimService.uploadDocuments()</t>
  </si>
  <si>
    <t>POST (multipart)</t>
  </si>
  <si>
    <t>ClaimDocumentHandler.upload</t>
  </si>
  <si>
    <t>Own claim; allowed file types/size; stored on disk (~/.cityshield/uploads).</t>
  </si>
  <si>
    <t>claim_documents (+ files)</t>
  </si>
  <si>
    <t>Redirect to claim detail</t>
  </si>
  <si>
    <t>/customer/claims/:claimId (CustomerClaimDetailComponent)</t>
  </si>
  <si>
    <t>Tracks claim</t>
  </si>
  <si>
    <t>loadMyClaim(); getMyClaimTimeline(); getMyDocuments()</t>
  </si>
  <si>
    <t>/api/claims/{claimId}  |  /api/claims/{claimId}/timeline  |  /api/claims/{claimId}/documents</t>
  </si>
  <si>
    <t>ClaimHandler.getMyClaim / getMyClaimTimeline; ClaimDocumentHandler.listMine</t>
  </si>
  <si>
    <t>Own claim.</t>
  </si>
  <si>
    <t>Status, timeline, documents</t>
  </si>
  <si>
    <t>Cancels claim</t>
  </si>
  <si>
    <t>cancelClaim() -&gt; ClaimService.cancelClaim()</t>
  </si>
  <si>
    <t>ClaimHandler.cancelClaim</t>
  </si>
  <si>
    <t>Only SUBMITTED.</t>
  </si>
  <si>
    <t>-&gt; Notification-Svc POST /internal/notifications (CLAIM_CANCELLED); -&gt; Notification-Svc POST /internal/audit-events</t>
  </si>
  <si>
    <t>Claim: SUBMITTED -&gt; CANCELLED</t>
  </si>
  <si>
    <t>CLAIM_CANCELLED</t>
  </si>
  <si>
    <t>UJ-16  Claims Officer Review (start, approve -&gt; payout, reject, settle)</t>
  </si>
  <si>
    <t>Officer opens /claims-officer/claims.</t>
  </si>
  <si>
    <t>Claims in SUBMITTED; officer has ROLE_CLAIMS_OFFICER (ROLE_CLAIMS_REVIEWER mapped to CLAIMS_OFFICER by gateway) or ADMIN.</t>
  </si>
  <si>
    <t>Claim APPROVED with PENDING payout (or REJECTED); later SETTLED.</t>
  </si>
  <si>
    <t>SPA -&gt; Gateway -&gt; CLAIMS -&gt; CLAIMS-SERVICE -&gt; FINANCIAL-SERVICE -&gt; CLAIMS-SERVICE</t>
  </si>
  <si>
    <t>Claims Officer</t>
  </si>
  <si>
    <t>/claims-officer/dashboard, /claims-officer/claims</t>
  </si>
  <si>
    <t>Opens queue</t>
  </si>
  <si>
    <t>loadSubmittedClaims(), loadTriggerEvents()</t>
  </si>
  <si>
    <t>/api/claims/review/submitted  |  /api/triggers/events</t>
  </si>
  <si>
    <t>CLAIMS / TRIGGER</t>
  </si>
  <si>
    <t>ClaimHandler.getSubmittedClaims / TriggerEventHandler.getAll</t>
  </si>
  <si>
    <t>CLAIMS_OFFICER / ADMIN.</t>
  </si>
  <si>
    <t>Queue of SUBMITTED + UNDER_REVIEW claims</t>
  </si>
  <si>
    <t>/claims-officer/claims/:claimId (ClaimsOfficerClaimDetailComponent)</t>
  </si>
  <si>
    <t>Opens claim</t>
  </si>
  <si>
    <t>loadReviewClaim(); getReviewDocuments(); downloadReviewDocument()</t>
  </si>
  <si>
    <t>/api/claims/review/{claimId}  |  /api/claims/review/{claimId}/documents  |  .../documents/{documentId}</t>
  </si>
  <si>
    <t>ClaimHandler.getClaim; ClaimDocumentHandler.listForReview / downloadForReview</t>
  </si>
  <si>
    <t>ClaimService.getClaim(); ClaimDocumentService.listForStaff()</t>
  </si>
  <si>
    <t>Staff access to any claim.</t>
  </si>
  <si>
    <t>Claim, trigger evidence, documents</t>
  </si>
  <si>
    <t>Starts review</t>
  </si>
  <si>
    <t>startClaimReview() -&gt; ClaimService.startReview()</t>
  </si>
  <si>
    <t>ClaimHandler.startReview</t>
  </si>
  <si>
    <t>-&gt; Notification-Svc POST /internal/notifications (CLAIM_UNDER_REVIEW); -&gt; Notification-Svc POST /internal/audit-events (CLAIM_REVIEW_STARTED)</t>
  </si>
  <si>
    <t>Claim: SUBMITTED -&gt; UNDER_REVIEW</t>
  </si>
  <si>
    <t>CLAIM_UNDER_REVIEW</t>
  </si>
  <si>
    <t>Approves with amount</t>
  </si>
  <si>
    <t>approveClaim() -&gt; ClaimService.approveClaim()</t>
  </si>
  <si>
    <t>ClaimHandler.approveClaim</t>
  </si>
  <si>
    <t>ClaimService.approveClaim() then ClaimService.requestPayout()</t>
  </si>
  <si>
    <t>Only UNDER_REVIEW; approvedAmount &gt; 0 and &lt;= claimedAmount.</t>
  </si>
  <si>
    <t>-&gt; Notification-Svc POST /internal/notifications (CLAIM_APPROVED); -&gt; Notification-Svc POST /internal/audit-events (CLAIM_APPROVED)</t>
  </si>
  <si>
    <t>Claim: UNDER_REVIEW -&gt; APPROVED</t>
  </si>
  <si>
    <t>CLAIM_APPROVED</t>
  </si>
  <si>
    <t>(continues - payout)</t>
  </si>
  <si>
    <t>Claims-Svc (system)</t>
  </si>
  <si>
    <t>Request payout</t>
  </si>
  <si>
    <t>PayoutHandler.createInternal</t>
  </si>
  <si>
    <t>PayoutService.create()</t>
  </si>
  <si>
    <t>Claim must be APPROVED with approvedAmount; one payout per claim (409 swallowed by caller).</t>
  </si>
  <si>
    <t>Claims -&gt; Financial; Financial -&gt; Claims-Svc GET /internal/claims/{claimId}; -&gt; Notification-Svc POST /internal/audit-events (PAYOUT_CREATED); -&gt; Notification-Svc POST /internal/notifications (PAYOUT_PENDING)</t>
  </si>
  <si>
    <t>payouts, financial_transactions</t>
  </si>
  <si>
    <t>Payout: -&gt; PENDING</t>
  </si>
  <si>
    <t>PAYOUT_PENDING</t>
  </si>
  <si>
    <t>Officer sees APPROVED; customer sees pending payout</t>
  </si>
  <si>
    <t>Claims Officer (alt)</t>
  </si>
  <si>
    <t>Rejects with reason</t>
  </si>
  <si>
    <t>rejectClaim() -&gt; ClaimService.rejectClaim()</t>
  </si>
  <si>
    <t>ClaimHandler.rejectClaim</t>
  </si>
  <si>
    <t>Only UNDER_REVIEW; reason required.</t>
  </si>
  <si>
    <t>-&gt; Notification-Svc POST /internal/notifications (CLAIM_REJECTED); -&gt; Notification-Svc POST /internal/audit-events</t>
  </si>
  <si>
    <t>Claim: UNDER_REVIEW -&gt; REJECTED</t>
  </si>
  <si>
    <t>CLAIM_REJECTED</t>
  </si>
  <si>
    <t>API (no dedicated button in SPA)</t>
  </si>
  <si>
    <t>Settles claim</t>
  </si>
  <si>
    <t>(API) ClaimService.settleClaim()</t>
  </si>
  <si>
    <t>ClaimHandler.settleClaim</t>
  </si>
  <si>
    <t>Only APPROVED.</t>
  </si>
  <si>
    <t>-&gt; Notification-Svc POST /internal/notifications (CLAIM_SETTLED); -&gt; Notification-Svc POST /internal/audit-events</t>
  </si>
  <si>
    <t>Claim: APPROVED -&gt; SETTLED</t>
  </si>
  <si>
    <t>CLAIM_SETTLED</t>
  </si>
  <si>
    <t>ClaimHandler.getReviewHistory</t>
  </si>
  <si>
    <t>Decisions by caller.</t>
  </si>
  <si>
    <t>History table</t>
  </si>
  <si>
    <t>UJ-17  Payout Disbursement &amp; Receipt</t>
  </si>
  <si>
    <t>Admin opens /admin/payouts.</t>
  </si>
  <si>
    <t>Payout PENDING (created on claim approval or manually).</t>
  </si>
  <si>
    <t>Payout SUCCESS; ledger entry; trigger event PROCESSED; customer receipt available.</t>
  </si>
  <si>
    <t>SPA -&gt; Gateway -&gt; FINANCIAL-SERVICE</t>
  </si>
  <si>
    <t>/admin/payouts (AdminPayoutsComponent)</t>
  </si>
  <si>
    <t>Lists payouts</t>
  </si>
  <si>
    <t>loadPayouts() -&gt; PayoutService.getAllPayouts()</t>
  </si>
  <si>
    <t>PayoutHandler.findAll</t>
  </si>
  <si>
    <t>Payout table</t>
  </si>
  <si>
    <t>Claims Officer / Admin (alt)</t>
  </si>
  <si>
    <t>Manually creates payout for approved claim</t>
  </si>
  <si>
    <t>createPayout() -&gt; PayoutService.createPayout()</t>
  </si>
  <si>
    <t>PayoutHandler.create</t>
  </si>
  <si>
    <t>CLAIMS_OFFICER or ADMIN; claim APPROVED; no existing payout.</t>
  </si>
  <si>
    <t>Financial -&gt; Claims-Svc GET /internal/claims/{claimId}; -&gt; Notification-Svc POST /internal/audit-events; -&gt; Notification-Svc POST /internal/notifications (PAYOUT_PENDING)</t>
  </si>
  <si>
    <t>Processes payout</t>
  </si>
  <si>
    <t>processPayout() -&gt; PayoutService.processPayout()</t>
  </si>
  <si>
    <t>PayoutHandler.process</t>
  </si>
  <si>
    <t>Only PENDING.</t>
  </si>
  <si>
    <t>-&gt; Notification-Svc POST /internal/audit-events (PAYOUT_PROCESSING)</t>
  </si>
  <si>
    <t>Payout: PENDING -&gt; PROCESSING</t>
  </si>
  <si>
    <t>Marks success</t>
  </si>
  <si>
    <t>markPayoutSuccess() -&gt; PayoutService.markSuccess()</t>
  </si>
  <si>
    <t>PayoutHandler.success</t>
  </si>
  <si>
    <t>Only PROCESSING; optional externalReference.</t>
  </si>
  <si>
    <t>-&gt; Notification-Svc POST /internal/audit-events (PAYOUT_SUCCESS); -&gt; Notification-Svc POST /internal/notifications (PAYOUT_PROCESSED); Financial -&gt; Trigger-Svc PUT /internal/triggers/events/{eventId}/processed (if triggerEventId)</t>
  </si>
  <si>
    <t>payouts, financial_transactions, (trigger) trigger_events</t>
  </si>
  <si>
    <t>Payout: PROCESSING -&gt; SUCCESS; TriggerEvent: VERIFIED -&gt; PROCESSED</t>
  </si>
  <si>
    <t>PAYOUT_PROCESSED to customer</t>
  </si>
  <si>
    <t>Marks failed / retries</t>
  </si>
  <si>
    <t>markPayoutFail(), retryPayout()</t>
  </si>
  <si>
    <t>/api/financial/payouts/{payoutId}/fail  |  /api/financial/payouts/{payoutId}/retry</t>
  </si>
  <si>
    <t>PayoutHandler.fail / retry</t>
  </si>
  <si>
    <t>PayoutService.fail() / retry()</t>
  </si>
  <si>
    <t>fail: only PROCESSING; retry: only FAILED (PayoutRetryScheduler also retries every 5 min).</t>
  </si>
  <si>
    <t>-&gt; Notification-Svc POST /internal/audit-events; -&gt; Notification-Svc POST /internal/notifications (PAYOUT_FAILED / PAYOUT_RETRY)</t>
  </si>
  <si>
    <t>PROCESSING -&gt; FAILED; FAILED -&gt; PENDING</t>
  </si>
  <si>
    <t>Failure / retry notices</t>
  </si>
  <si>
    <t>/customer/payments?tab=payouts (CustomerPaymentsComponent)</t>
  </si>
  <si>
    <t>Downloads receipt</t>
  </si>
  <si>
    <t>PayoutService.downloadReceipt()</t>
  </si>
  <si>
    <t>PayoutReceiptHandler.customerReceipt</t>
  </si>
  <si>
    <t>Own payout.</t>
  </si>
  <si>
    <t>Financial -&gt; Product-Svc GET /internal/policies/{policyId}</t>
  </si>
  <si>
    <t>PDF receipt</t>
  </si>
  <si>
    <t>PayoutService.downloadAdminReceipt()</t>
  </si>
  <si>
    <t>PayoutReceiptHandler.adminReceipt</t>
  </si>
  <si>
    <t>UJ-18  Notifications, Real-time Push, Preferences &amp; Audit</t>
  </si>
  <si>
    <t>Any signed-in user; layout header starts notification polling/stream.</t>
  </si>
  <si>
    <t>Signed in.</t>
  </si>
  <si>
    <t>Notifications read/deleted; preferences saved; admins can resend/batch.</t>
  </si>
  <si>
    <t>SPA -&gt; Gateway -&gt; NOTIFICATION-SERVICE</t>
  </si>
  <si>
    <t>Any user</t>
  </si>
  <si>
    <t>Layout header (bell)</t>
  </si>
  <si>
    <t>App starts push</t>
  </si>
  <si>
    <t>startNotificationPolling() -&gt; NotificationPushService.connect() (EventSource)</t>
  </si>
  <si>
    <t>GET (SSE)</t>
  </si>
  <si>
    <t>/api/notifications/me/stream?access_token=&lt;jwt&gt;</t>
  </si>
  <si>
    <t>NotificationHandler.stream</t>
  </si>
  <si>
    <t>NotificationService.stream() (NotificationStream Flux)</t>
  </si>
  <si>
    <t>Gateway accepts token from query for this path only.</t>
  </si>
  <si>
    <t>Live notifications</t>
  </si>
  <si>
    <t>Toast + badge</t>
  </si>
  <si>
    <t>Header / poll tick</t>
  </si>
  <si>
    <t>Unread badge</t>
  </si>
  <si>
    <t>loadUnreadCount() -&gt; NotificationService.getUnreadCount()</t>
  </si>
  <si>
    <t>NotificationHandler.count</t>
  </si>
  <si>
    <t>Recipient = user id, customer id or role.</t>
  </si>
  <si>
    <t>Badge number</t>
  </si>
  <si>
    <t>Customer / Staff</t>
  </si>
  <si>
    <t>/customer/notifications, /underwriter|/claims-officer/notifications</t>
  </si>
  <si>
    <t>Views list</t>
  </si>
  <si>
    <t>loadNotifications() -&gt; getMyNotifications() / getMyNotificationsCreatedAfter()</t>
  </si>
  <si>
    <t>NotificationHandler.mine</t>
  </si>
  <si>
    <t>NotificationService.mine(query)</t>
  </si>
  <si>
    <t>Paging, type &amp; createdAfter filters.</t>
  </si>
  <si>
    <t>List</t>
  </si>
  <si>
    <t>notifications page</t>
  </si>
  <si>
    <t>Marks read / all read / deletes</t>
  </si>
  <si>
    <t>markAsRead(), markAllAsRead(), deleteNotification()</t>
  </si>
  <si>
    <t>/api/notifications/{id}/read  |  /api/notifications/me/read-all  |  /api/notifications/{id}</t>
  </si>
  <si>
    <t>NotificationHandler.read / readAll / delete</t>
  </si>
  <si>
    <t>NotificationService.markRead() / markAllRead() / delete()</t>
  </si>
  <si>
    <t>Own notifications only.</t>
  </si>
  <si>
    <t>read = true</t>
  </si>
  <si>
    <t>Badge updates</t>
  </si>
  <si>
    <t>Sets preferences</t>
  </si>
  <si>
    <t>loadPreferences(), upsertPreference()</t>
  </si>
  <si>
    <t>GET / PUT</t>
  </si>
  <si>
    <t>NotificationPreferenceHandler.myPreferences / upsert</t>
  </si>
  <si>
    <t>NotificationPreferenceService.myPreferences() / upsert()</t>
  </si>
  <si>
    <t>Per notification type + channel.</t>
  </si>
  <si>
    <t>/admin/notifications (AdminNotificationsComponent)</t>
  </si>
  <si>
    <t>Manages all notifications</t>
  </si>
  <si>
    <t>loadAllNotifications(), adminMarkAsRead(), adminDelete()</t>
  </si>
  <si>
    <t>GET / PUT / DELETE</t>
  </si>
  <si>
    <t>/api/notifications/admin/all  |  /api/notifications/admin/{id}/read  |  /api/notifications/admin/{id}</t>
  </si>
  <si>
    <t>NotificationHandler.all / adminRead / adminDelete</t>
  </si>
  <si>
    <t>NotificationService.allPage() / adminMarkRead() / adminDelete()</t>
  </si>
  <si>
    <t>Admin table</t>
  </si>
  <si>
    <t>Templates, batch, failed</t>
  </si>
  <si>
    <t>loadTemplates(), createTemplate(), sendBatch(), loadFailedNotifications()</t>
  </si>
  <si>
    <t>GET / POST</t>
  </si>
  <si>
    <t>/api/notifications/admin/templates  |  /api/notifications/admin/batch  |  /api/notifications/admin/failed  |  /api/notifications/from-template</t>
  </si>
  <si>
    <t>NotificationTemplateHandler.* / NotificationHandler.batch / failed / fromTemplate</t>
  </si>
  <si>
    <t>NotificationTemplateService.* / NotificationService.batch()</t>
  </si>
  <si>
    <t>notification_templates, notifications, delivery_attempts</t>
  </si>
  <si>
    <t>Admin / Staff</t>
  </si>
  <si>
    <t>/admin/audit (scope ALL), /*/activity (scope MINE)</t>
  </si>
  <si>
    <t>Audit history</t>
  </si>
  <si>
    <t>loadAuditEvents() / loadMyAuditEvents()</t>
  </si>
  <si>
    <t>/api/notifications/admin/audit  |  /api/notifications/audit/me</t>
  </si>
  <si>
    <t>AuditEventHandler.all / mine</t>
  </si>
  <si>
    <t>AuditEventService.all() / mine()</t>
  </si>
  <si>
    <t>ALL requires ADMIN.</t>
  </si>
  <si>
    <t>Audit table</t>
  </si>
  <si>
    <t>Retry failed deliveries (every 5 min) / clean old (03:00)</t>
  </si>
  <si>
    <t>retryFailedDeliveries() / cleanupOldNotifications()</t>
  </si>
  <si>
    <t>notifications, delivery_attempts</t>
  </si>
  <si>
    <t>UJ-19  Admin User Management &amp; Dashboards</t>
  </si>
  <si>
    <t>Admin opens /admin/dashboard or /admin/users.</t>
  </si>
  <si>
    <t>User statuses managed; KPIs visible.</t>
  </si>
  <si>
    <t>SPA -&gt; Gateway -&gt; PRODUCT -&gt; AUTH-SERVICE -&gt; PRODUCT -&gt; TRIGGER</t>
  </si>
  <si>
    <t>/admin/dashboard (AdminDashboardComponent)</t>
  </si>
  <si>
    <t>loadAdminPolicies(), loadAdminProducts(), loadPayouts(), loadUsers()</t>
  </si>
  <si>
    <t>/api/policies/admin/all  |  /api/products/admin/all  |  /api/financial/payouts/admin/all  |  /api/users</t>
  </si>
  <si>
    <t>PRODUCT / FINANCIAL / AUTH</t>
  </si>
  <si>
    <t>PolicyHandler.getAllPolicies / ProductHandler.getAllProducts / PayoutHandler.findAll / UserHandler.getAllUsers</t>
  </si>
  <si>
    <t>KPI stat cards</t>
  </si>
  <si>
    <t>/admin/users (AdminUsersComponent)</t>
  </si>
  <si>
    <t>Searches users</t>
  </si>
  <si>
    <t>loadUsers() -&gt; UserService.getAllUsers()</t>
  </si>
  <si>
    <t>/api/users?status&amp;segment</t>
  </si>
  <si>
    <t>UserHandler.getAllUsers</t>
  </si>
  <si>
    <t>User table</t>
  </si>
  <si>
    <t>/admin/users/:userId (AdminUserDetailComponent)</t>
  </si>
  <si>
    <t>Views user</t>
  </si>
  <si>
    <t>loadUser() -&gt; UserService.getUser()</t>
  </si>
  <si>
    <t>UserHandler.getUser</t>
  </si>
  <si>
    <t>UserProfileService.getUser()</t>
  </si>
  <si>
    <t>ADMIN / UNDERWRITER / CLAIMS_OFFICER.</t>
  </si>
  <si>
    <t>Profile</t>
  </si>
  <si>
    <t>Suspends / reactivates</t>
  </si>
  <si>
    <t>updateUserStatus() -&gt; UserService.updateUserStatus()</t>
  </si>
  <si>
    <t>UserHandler.updateStatus</t>
  </si>
  <si>
    <t>ADMIN; ACTIVE/SUSPENDED/INACTIVE.</t>
  </si>
  <si>
    <t>-&gt; Notification-Svc POST /internal/audit-events (USER_STATUS_CHANGED)</t>
  </si>
  <si>
    <t>User: ACTIVE &lt;-&gt; SUSPENDED / INACTIVE</t>
  </si>
  <si>
    <t>Status badge updates</t>
  </si>
  <si>
    <t>/admin/policies, /admin/claims (+ detail pages)</t>
  </si>
  <si>
    <t>Oversees policies &amp; claims</t>
  </si>
  <si>
    <t>loadAdminPolicies(), loadAdminClaims(), loadAdminClaim(), getAdminClaimTimeline(), downloadAdminCertificate()</t>
  </si>
  <si>
    <t>/api/policies/admin/all  |  /api/claims/admin/all  |  /api/claims/admin/{claimId}  |  /api/claims/admin/{claimId}/timeline  |  /api/policies/admin/{policyId}/certificate</t>
  </si>
  <si>
    <t>PRODUCT / CLAIMS</t>
  </si>
  <si>
    <t>PolicyHandler.* / ClaimHandler.getAllClaims / getClaim / getClaimTimeline</t>
  </si>
  <si>
    <t>Read-only oversight views</t>
  </si>
  <si>
    <t>Any role</t>
  </si>
  <si>
    <t>/customer|/admin/zone-map (ZoneMapPageComponent)</t>
  </si>
  <si>
    <t>Views zone risk map</t>
  </si>
  <si>
    <t>measurementService.getZoneMeasurements(); zoneService.getActiveZones(); policyService.getMyPolicies()/getAllPolicies()</t>
  </si>
  <si>
    <t>/api/triggers/measurements/zones  |  /api/triggers/zones/active  |  /api/policies/me or /api/policies/admin/all</t>
  </si>
  <si>
    <t>TRIGGER / PRODUCT</t>
  </si>
  <si>
    <t>ZoneMeasurementRouter lambda / LocationZoneHandler.getActive / PolicyHandler.*</t>
  </si>
  <si>
    <t>Customers see own policies; admin sees all.</t>
  </si>
  <si>
    <t>Map with latest weather per zone</t>
  </si>
  <si>
    <t>UJ-20  Background System Jobs (no user)</t>
  </si>
  <si>
    <t>Spring @Scheduled timers.</t>
  </si>
  <si>
    <t>Services running.</t>
  </si>
  <si>
    <t>Expired policies, renewals, retries, reminders, reconciliation, monitor runs executed.</t>
  </si>
  <si>
    <t>SPA -&gt; Gateway -&gt; PRODUCT-SERVICE -&gt; FINANCIAL-SERVICE -&gt; TRIGGER-SERVICE -&gt; NOTIFICATION-SERVICE</t>
  </si>
  <si>
    <t>PolicyExpiryScheduler - cron 0 0 1 * * ?</t>
  </si>
  <si>
    <t>Expire policies</t>
  </si>
  <si>
    <t>@Scheduled expirePolicies()</t>
  </si>
  <si>
    <t>expirePolicy()</t>
  </si>
  <si>
    <t>ACTIVE and endDate &lt;= today.</t>
  </si>
  <si>
    <t>-&gt; Notification-Svc POST /internal/notifications (POLICY_EXPIRED)</t>
  </si>
  <si>
    <t>POLICY_EXPIRED</t>
  </si>
  <si>
    <t>PolicyRenewalScheduler - cron 0 30 1 * * ?</t>
  </si>
  <si>
    <t>Renewal sweep</t>
  </si>
  <si>
    <t>@Scheduled runRenewalSweep()</t>
  </si>
  <si>
    <t>PolicyService.createAutomaticRenewal()</t>
  </si>
  <si>
    <t>autoRenew &amp; &lt;= 14 days left -&gt; renewal application; else reminders at 14 and 3 days.</t>
  </si>
  <si>
    <t>Product -&gt; Financial pricing; -&gt; Notification-Svc POST /internal/notifications (POLICY_RENEWAL_DUE)</t>
  </si>
  <si>
    <t>new PENDING renewal</t>
  </si>
  <si>
    <t>POLICY_RENEWAL_DUE</t>
  </si>
  <si>
    <t>DefaultPricingRuleScheduler - initial 20 s, fixedDelay 60 s</t>
  </si>
  <si>
    <t>Provision default pricing rules</t>
  </si>
  <si>
    <t>@Scheduled syncDefaultRules()</t>
  </si>
  <si>
    <t>One default rule per product without a rule.</t>
  </si>
  <si>
    <t>Financial -&gt; Product</t>
  </si>
  <si>
    <t>PaymentRetryScheduler - cron 0 */5 * * * *</t>
  </si>
  <si>
    <t>Retry failed payments</t>
  </si>
  <si>
    <t>@Scheduled retryFailedPayments()</t>
  </si>
  <si>
    <t>FAILED payments with attemptNumber &lt; 3 -&gt; PENDING, attempt + 1.</t>
  </si>
  <si>
    <t>-&gt; Notification-Svc POST /internal/notifications (PAYMENT_RETRY); -&gt; Notification-Svc POST /internal/audit-events</t>
  </si>
  <si>
    <t>PayoutRetryScheduler - cron 0 */5 * * * *</t>
  </si>
  <si>
    <t>Retry failed payouts</t>
  </si>
  <si>
    <t>@Scheduled retryFailedPayouts()</t>
  </si>
  <si>
    <t>FAILED payouts with retryCount &lt; 3 -&gt; PENDING, retryCount + 1.</t>
  </si>
  <si>
    <t>-&gt; Notification-Svc POST /internal/notifications (PAYOUT_RETRY); -&gt; Notification-Svc POST /internal/audit-events</t>
  </si>
  <si>
    <t>PremiumReminderScheduler - cron 0 0 9 * * *</t>
  </si>
  <si>
    <t>Premium due / overdue reminders</t>
  </si>
  <si>
    <t>@Scheduled sendPremiumReminders()</t>
  </si>
  <si>
    <t>sendReminder()</t>
  </si>
  <si>
    <t>Latest SUCCESS payment per policy -&gt; next due date.</t>
  </si>
  <si>
    <t>-&gt; Notification-Svc POST /internal/notifications (PREMIUM_DUE / PREMIUM_OVERDUE)</t>
  </si>
  <si>
    <t>Reminder</t>
  </si>
  <si>
    <t>ReconciliationScheduler - cron 0 30 3 * * *</t>
  </si>
  <si>
    <t>Reconcile ledger</t>
  </si>
  <si>
    <t>@Scheduled runReconciliation()</t>
  </si>
  <si>
    <t>reconcilePayment() / reconcilePayout()</t>
  </si>
  <si>
    <t>SUCCESS/REFUNDED payments &amp; SUCCESS payouts vs financial_transactions.</t>
  </si>
  <si>
    <t>-&gt; Notification-Svc POST /internal/notifications (RECONCILIATION_COMPLETED / DISCREPANCY)</t>
  </si>
  <si>
    <t>Admin notice</t>
  </si>
  <si>
    <t>MonitorRunService - fixedDelay 60 s</t>
  </si>
  <si>
    <t>Trigger monitor scan</t>
  </si>
  <si>
    <t>@Scheduled runScheduledScan()</t>
  </si>
  <si>
    <t>executeScan()</t>
  </si>
  <si>
    <t>See UJ-13.</t>
  </si>
  <si>
    <t>-&gt; DETECTED</t>
  </si>
  <si>
    <t>DemoObservationGenerator - fixedDelay 60 s (demo.feed.enabled)</t>
  </si>
  <si>
    <t>Generate demo weather readings</t>
  </si>
  <si>
    <t>generateReadings()</t>
  </si>
  <si>
    <t>24 h backfill on startup.</t>
  </si>
  <si>
    <t>NotificationScheduler - cron 0 */5 * * * * / 0 0 3 * * *</t>
  </si>
  <si>
    <t>Retry deliveries /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</si>
</sst>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1"/>
      <color rgb="FF2E75B6"/>
      <name val="Arial"/>
    </font>
    <font>
      <b/>
      <sz val="10"/>
      <name val="Arial"/>
    </font>
    <font>
      <sz val="10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b/>
      <sz val="14"/>
      <color rgb="FF1F3864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0" xfId="0" applyFont="1"/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vertical="top" wrapText="1"/>
    </xf>
    <xf numFmtId="0" fontId="0" fillId="0" borderId="0" xfId="0"/>
    <xf numFmtId="0" fontId="4" fillId="2" borderId="1" xfId="0" applyFont="1" applyFill="1" applyBorder="1"/>
    <xf numFmtId="0" fontId="0" fillId="0" borderId="2" xfId="0" applyBorder="1"/>
    <xf numFmtId="0" fontId="5" fillId="0" borderId="1" xfId="0" applyFont="1" applyBorder="1" applyAlignment="1">
      <alignment vertical="top" wrapText="1"/>
    </xf>
    <xf numFmtId="0" fontId="0" fillId="0" borderId="3" xfId="0" applyBorder="1"/>
    <xf numFmtId="0" fontId="9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dpoints" displayName="Endpoints" ref="A3:P210" headerRowDxfId="2" dataDxfId="0" totalsRowDxfId="1">
  <autoFilter ref="A3:P210" xr:uid="{00000000-0009-0000-0100-000001000000}"/>
  <tableColumns count="16">
    <tableColumn id="1" xr3:uid="{00000000-0010-0000-0000-000001000000}" name="ID" dataDxfId="18"/>
    <tableColumn id="2" xr3:uid="{00000000-0010-0000-0000-000002000000}" name="Service" dataDxfId="17"/>
    <tableColumn id="3" xr3:uid="{00000000-0010-0000-0000-000003000000}" name="Eureka name" dataDxfId="16"/>
    <tableColumn id="4" xr3:uid="{00000000-0010-0000-0000-000004000000}" name="Router" dataDxfId="15"/>
    <tableColumn id="5" xr3:uid="{00000000-0010-0000-0000-000005000000}" name="HTTP" dataDxfId="14"/>
    <tableColumn id="6" xr3:uid="{00000000-0010-0000-0000-000006000000}" name="Path" dataDxfId="13"/>
    <tableColumn id="7" xr3:uid="{00000000-0010-0000-0000-000007000000}" name="Consumes" dataDxfId="12"/>
    <tableColumn id="8" xr3:uid="{00000000-0010-0000-0000-000008000000}" name="Scope" dataDxfId="11"/>
    <tableColumn id="9" xr3:uid="{00000000-0010-0000-0000-000009000000}" name="Allowed roles" dataDxfId="10"/>
    <tableColumn id="10" xr3:uid="{00000000-0010-0000-0000-00000A000000}" name="Gateway / access path" dataDxfId="9"/>
    <tableColumn id="11" xr3:uid="{00000000-0010-0000-0000-00000B000000}" name="Handler method" dataDxfId="8"/>
    <tableColumn id="12" xr3:uid="{00000000-0010-0000-0000-00000C000000}" name="Delegates to (service methods)" dataDxfId="7"/>
    <tableColumn id="13" xr3:uid="{00000000-0010-0000-0000-00000D000000}" name="Business description &amp; rules" dataDxfId="6"/>
    <tableColumn id="14" xr3:uid="{00000000-0010-0000-0000-00000E000000}" name="Downstream calls / side effects (notifications, audit, DB)" dataDxfId="5"/>
    <tableColumn id="15" xr3:uid="{00000000-0010-0000-0000-00000F000000}" name="Called from SPA (Angular service.method)" dataDxfId="4"/>
    <tableColumn id="16" xr3:uid="{00000000-0010-0000-0000-000010000000}" name="SPA pages (routes)" dataDxfId="3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hods" displayName="Methods" ref="A4:F543">
  <autoFilter ref="A4:F543" xr:uid="{00000000-0009-0000-0100-000002000000}"/>
  <tableColumns count="6">
    <tableColumn id="1" xr3:uid="{00000000-0010-0000-0100-000001000000}" name="Service"/>
    <tableColumn id="2" xr3:uid="{00000000-0010-0000-0100-000002000000}" name="Layer"/>
    <tableColumn id="3" xr3:uid="{00000000-0010-0000-0100-000003000000}" name="Class"/>
    <tableColumn id="4" xr3:uid="{00000000-0010-0000-0100-000004000000}" name="Method"/>
    <tableColumn id="5" xr3:uid="{00000000-0010-0000-0100-000005000000}" name="Signature (return type + parameters)"/>
    <tableColumn id="6" xr3:uid="{00000000-0010-0000-0100-000006000000}" name="@Scheduled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terService" displayName="InterService" ref="A4:J36">
  <autoFilter ref="A4:J36" xr:uid="{00000000-0009-0000-0100-000003000000}"/>
  <tableColumns count="10">
    <tableColumn id="1" xr3:uid="{00000000-0010-0000-0200-000001000000}" name="ID"/>
    <tableColumn id="2" xr3:uid="{00000000-0010-0000-0200-000002000000}" name="Caller service"/>
    <tableColumn id="3" xr3:uid="{00000000-0010-0000-0200-000003000000}" name="Caller class.method"/>
    <tableColumn id="4" xr3:uid="{00000000-0010-0000-0200-000004000000}" name="Client method"/>
    <tableColumn id="5" xr3:uid="{00000000-0010-0000-0200-000005000000}" name="HTTP"/>
    <tableColumn id="6" xr3:uid="{00000000-0010-0000-0200-000006000000}" name="Target URL"/>
    <tableColumn id="7" xr3:uid="{00000000-0010-0000-0200-000007000000}" name="Target service"/>
    <tableColumn id="8" xr3:uid="{00000000-0010-0000-0200-000008000000}" name="Target handler -&gt; service"/>
    <tableColumn id="9" xr3:uid="{00000000-0010-0000-0200-000009000000}" name="Purpose"/>
    <tableColumn id="10" xr3:uid="{00000000-0010-0000-0200-00000A000000}" name="Failure handling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Model" displayName="DataModel" ref="A4:E80">
  <autoFilter ref="A4:E80" xr:uid="{00000000-0009-0000-0100-000005000000}"/>
  <tableColumns count="5">
    <tableColumn id="1" xr3:uid="{00000000-0010-0000-0400-000001000000}" name="Service"/>
    <tableColumn id="2" xr3:uid="{00000000-0010-0000-0400-000002000000}" name="Kind"/>
    <tableColumn id="3" xr3:uid="{00000000-0010-0000-0400-000003000000}" name="Table name"/>
    <tableColumn id="4" xr3:uid="{00000000-0010-0000-0400-000004000000}" name="Model class"/>
    <tableColumn id="5" xr3:uid="{00000000-0010-0000-0400-000005000000}" name="Value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fecycles" displayName="Lifecycles" ref="A4:E37">
  <autoFilter ref="A4:E37" xr:uid="{00000000-0009-0000-0100-000006000000}"/>
  <tableColumns count="5">
    <tableColumn id="1" xr3:uid="{00000000-0010-0000-0500-000001000000}" name="Entity"/>
    <tableColumn id="2" xr3:uid="{00000000-0010-0000-0500-000002000000}" name="Service"/>
    <tableColumn id="3" xr3:uid="{00000000-0010-0000-0500-000003000000}" name="Transition"/>
    <tableColumn id="4" xr3:uid="{00000000-0010-0000-0500-000004000000}" name="Triggered by (endpoint / job)"/>
    <tableColumn id="5" xr3:uid="{00000000-0010-0000-0500-000005000000}" name="Actor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rontendPages" displayName="FrontendPages" ref="A4:G57">
  <autoFilter ref="A4:G57" xr:uid="{00000000-0009-0000-0100-000007000000}"/>
  <tableColumns count="7">
    <tableColumn id="1" xr3:uid="{00000000-0010-0000-0600-000001000000}" name="Route"/>
    <tableColumn id="2" xr3:uid="{00000000-0010-0000-0600-000002000000}" name="Layout"/>
    <tableColumn id="3" xr3:uid="{00000000-0010-0000-0600-000003000000}" name="Role"/>
    <tableColumn id="4" xr3:uid="{00000000-0010-0000-0600-000004000000}" name="Component"/>
    <tableColumn id="5" xr3:uid="{00000000-0010-0000-0600-000005000000}" name="NgRx actions dispatched"/>
    <tableColumn id="6" xr3:uid="{00000000-0010-0000-0600-000006000000}" name="Angular service methods"/>
    <tableColumn id="7" xr3:uid="{00000000-0010-0000-0600-000007000000}" name="Backend endpoints called (via gateway)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57"/>
  <sheetViews>
    <sheetView showGridLines="0" topLeftCell="A13" zoomScale="82" workbookViewId="0">
      <selection activeCell="E1" sqref="E1"/>
    </sheetView>
  </sheetViews>
  <sheetFormatPr defaultRowHeight="14.5" x14ac:dyDescent="0.35"/>
  <cols>
    <col min="1" max="1" width="34" customWidth="1"/>
    <col min="2" max="2" width="44" customWidth="1"/>
    <col min="3" max="3" width="26" customWidth="1"/>
    <col min="4" max="4" width="40" customWidth="1"/>
    <col min="5" max="5" width="8" customWidth="1"/>
    <col min="6" max="6" width="60" customWidth="1"/>
    <col min="7" max="8" width="12" customWidth="1"/>
  </cols>
  <sheetData>
    <row r="1" spans="1:8" ht="20" x14ac:dyDescent="0.4">
      <c r="A1" s="1" t="s">
        <v>0</v>
      </c>
    </row>
    <row r="3" spans="1:8" x14ac:dyDescent="0.35">
      <c r="A3" s="3" t="s">
        <v>1</v>
      </c>
    </row>
    <row r="4" spans="1:8" ht="45" customHeight="1" x14ac:dyDescent="0.35">
      <c r="A4" s="4" t="s">
        <v>2</v>
      </c>
      <c r="B4" s="19" t="s">
        <v>3</v>
      </c>
      <c r="C4" s="20"/>
      <c r="D4" s="20"/>
      <c r="E4" s="20"/>
      <c r="F4" s="20"/>
      <c r="G4" s="20"/>
      <c r="H4" s="20"/>
    </row>
    <row r="5" spans="1:8" ht="45" customHeight="1" x14ac:dyDescent="0.35">
      <c r="A5" s="4" t="s">
        <v>4</v>
      </c>
      <c r="B5" s="19" t="s">
        <v>5</v>
      </c>
      <c r="C5" s="20"/>
      <c r="D5" s="20"/>
      <c r="E5" s="20"/>
      <c r="F5" s="20"/>
      <c r="G5" s="20"/>
      <c r="H5" s="20"/>
    </row>
    <row r="6" spans="1:8" ht="45" customHeight="1" x14ac:dyDescent="0.35">
      <c r="A6" s="4" t="s">
        <v>6</v>
      </c>
      <c r="B6" s="19" t="s">
        <v>7</v>
      </c>
      <c r="C6" s="20"/>
      <c r="D6" s="20"/>
      <c r="E6" s="20"/>
      <c r="F6" s="20"/>
      <c r="G6" s="20"/>
      <c r="H6" s="20"/>
    </row>
    <row r="7" spans="1:8" ht="45" customHeight="1" x14ac:dyDescent="0.35">
      <c r="A7" s="4" t="s">
        <v>8</v>
      </c>
      <c r="B7" s="19" t="s">
        <v>9</v>
      </c>
      <c r="C7" s="20"/>
      <c r="D7" s="20"/>
      <c r="E7" s="20"/>
      <c r="F7" s="20"/>
      <c r="G7" s="20"/>
      <c r="H7" s="20"/>
    </row>
    <row r="8" spans="1:8" ht="45" customHeight="1" x14ac:dyDescent="0.35">
      <c r="A8" s="4" t="s">
        <v>10</v>
      </c>
      <c r="B8" s="19" t="s">
        <v>11</v>
      </c>
      <c r="C8" s="20"/>
      <c r="D8" s="20"/>
      <c r="E8" s="20"/>
      <c r="F8" s="20"/>
      <c r="G8" s="20"/>
      <c r="H8" s="20"/>
    </row>
    <row r="9" spans="1:8" ht="45" customHeight="1" x14ac:dyDescent="0.35">
      <c r="A9" s="4" t="s">
        <v>12</v>
      </c>
      <c r="B9" s="19" t="s">
        <v>13</v>
      </c>
      <c r="C9" s="20"/>
      <c r="D9" s="20"/>
      <c r="E9" s="20"/>
      <c r="F9" s="20"/>
      <c r="G9" s="20"/>
      <c r="H9" s="20"/>
    </row>
    <row r="10" spans="1:8" ht="45" customHeight="1" x14ac:dyDescent="0.35">
      <c r="A10" s="4" t="s">
        <v>14</v>
      </c>
      <c r="B10" s="19" t="s">
        <v>15</v>
      </c>
      <c r="C10" s="20"/>
      <c r="D10" s="20"/>
      <c r="E10" s="20"/>
      <c r="F10" s="20"/>
      <c r="G10" s="20"/>
      <c r="H10" s="20"/>
    </row>
    <row r="12" spans="1:8" x14ac:dyDescent="0.35">
      <c r="A12" s="3" t="s">
        <v>16</v>
      </c>
    </row>
    <row r="13" spans="1:8" x14ac:dyDescent="0.35">
      <c r="A13" s="5" t="s">
        <v>17</v>
      </c>
      <c r="B13" s="6">
        <f>COUNTA(Microservices!A4:A11)-2</f>
        <v>6</v>
      </c>
      <c r="C13" s="7" t="s">
        <v>18</v>
      </c>
    </row>
    <row r="14" spans="1:8" x14ac:dyDescent="0.35">
      <c r="A14" s="5" t="s">
        <v>19</v>
      </c>
      <c r="B14" s="6">
        <f>COUNTA('API Endpoints'!A4:A399)</f>
        <v>207</v>
      </c>
      <c r="C14" s="7" t="s">
        <v>20</v>
      </c>
    </row>
    <row r="15" spans="1:8" x14ac:dyDescent="0.35">
      <c r="A15" s="5" t="s">
        <v>21</v>
      </c>
      <c r="B15" s="6">
        <f>COUNTIF('API Endpoints'!H4:H399,"Public")</f>
        <v>11</v>
      </c>
      <c r="C15" s="7" t="s">
        <v>22</v>
      </c>
    </row>
    <row r="16" spans="1:8" x14ac:dyDescent="0.35">
      <c r="A16" s="5" t="s">
        <v>23</v>
      </c>
      <c r="B16" s="6">
        <f>COUNTIF('API Endpoints'!H4:H399,"Secured")</f>
        <v>171</v>
      </c>
      <c r="C16" s="7" t="s">
        <v>24</v>
      </c>
    </row>
    <row r="17" spans="1:6" x14ac:dyDescent="0.35">
      <c r="A17" s="5" t="s">
        <v>25</v>
      </c>
      <c r="B17" s="6">
        <f>COUNTIF('API Endpoints'!H4:H399,"Internal")</f>
        <v>25</v>
      </c>
      <c r="C17" s="7" t="s">
        <v>26</v>
      </c>
    </row>
    <row r="18" spans="1:6" x14ac:dyDescent="0.35">
      <c r="A18" s="5" t="s">
        <v>27</v>
      </c>
      <c r="B18" s="6">
        <f>COUNTA('Inter-Service Calls'!A5:A200)</f>
        <v>33</v>
      </c>
      <c r="C18" s="7" t="s">
        <v>28</v>
      </c>
    </row>
    <row r="19" spans="1:6" x14ac:dyDescent="0.35">
      <c r="A19" s="5" t="s">
        <v>29</v>
      </c>
      <c r="B19" s="6">
        <f>COUNTA(#REF!)</f>
        <v>1</v>
      </c>
      <c r="C19" s="7" t="s">
        <v>30</v>
      </c>
    </row>
    <row r="20" spans="1:6" x14ac:dyDescent="0.35">
      <c r="A20" s="5" t="s">
        <v>31</v>
      </c>
      <c r="B20" s="6">
        <f>COUNTA('Frontend Pages'!A5:A200)</f>
        <v>53</v>
      </c>
      <c r="C20" s="7" t="s">
        <v>32</v>
      </c>
    </row>
    <row r="21" spans="1:6" x14ac:dyDescent="0.35">
      <c r="A21" s="5" t="s">
        <v>33</v>
      </c>
      <c r="B21" s="6">
        <f>COUNTA(A25:A44)</f>
        <v>20</v>
      </c>
      <c r="C21" s="7" t="s">
        <v>34</v>
      </c>
    </row>
    <row r="23" spans="1:6" x14ac:dyDescent="0.35">
      <c r="A23" s="3" t="s">
        <v>35</v>
      </c>
    </row>
    <row r="24" spans="1:6" x14ac:dyDescent="0.35">
      <c r="A24" s="8" t="s">
        <v>36</v>
      </c>
      <c r="B24" s="8" t="s">
        <v>37</v>
      </c>
      <c r="C24" s="8" t="s">
        <v>38</v>
      </c>
      <c r="D24" s="8" t="s">
        <v>39</v>
      </c>
      <c r="E24" s="8" t="s">
        <v>40</v>
      </c>
      <c r="F24" s="8" t="s">
        <v>41</v>
      </c>
    </row>
    <row r="25" spans="1:6" ht="25" x14ac:dyDescent="0.35">
      <c r="A25" s="9" t="s">
        <v>42</v>
      </c>
      <c r="B25" s="10" t="s">
        <v>43</v>
      </c>
      <c r="C25" s="10" t="s">
        <v>44</v>
      </c>
      <c r="D25" s="10" t="s">
        <v>45</v>
      </c>
      <c r="E25" s="10">
        <f>COUNTA('UJ-01'!A13:A60)</f>
        <v>7</v>
      </c>
      <c r="F25" s="10" t="s">
        <v>46</v>
      </c>
    </row>
    <row r="26" spans="1:6" ht="25" x14ac:dyDescent="0.35">
      <c r="A26" s="9" t="s">
        <v>47</v>
      </c>
      <c r="B26" s="10" t="s">
        <v>48</v>
      </c>
      <c r="C26" s="10" t="s">
        <v>49</v>
      </c>
      <c r="D26" s="10" t="s">
        <v>50</v>
      </c>
      <c r="E26" s="10">
        <f>COUNTA('UJ-02'!A13:A60)</f>
        <v>3</v>
      </c>
      <c r="F26" s="10" t="s">
        <v>51</v>
      </c>
    </row>
    <row r="27" spans="1:6" ht="25" x14ac:dyDescent="0.35">
      <c r="A27" s="9" t="s">
        <v>52</v>
      </c>
      <c r="B27" s="10" t="s">
        <v>53</v>
      </c>
      <c r="C27" s="10" t="s">
        <v>54</v>
      </c>
      <c r="D27" s="10" t="s">
        <v>55</v>
      </c>
      <c r="E27" s="10">
        <f>COUNTA('UJ-03'!A13:A60)</f>
        <v>3</v>
      </c>
      <c r="F27" s="10" t="s">
        <v>56</v>
      </c>
    </row>
    <row r="28" spans="1:6" ht="25" x14ac:dyDescent="0.35">
      <c r="A28" s="9" t="s">
        <v>57</v>
      </c>
      <c r="B28" s="10" t="s">
        <v>58</v>
      </c>
      <c r="C28" s="10" t="s">
        <v>54</v>
      </c>
      <c r="D28" s="10" t="s">
        <v>59</v>
      </c>
      <c r="E28" s="10">
        <f>COUNTA('UJ-04'!A13:A60)</f>
        <v>4</v>
      </c>
      <c r="F28" s="10" t="s">
        <v>60</v>
      </c>
    </row>
    <row r="29" spans="1:6" ht="25" x14ac:dyDescent="0.35">
      <c r="A29" s="9" t="s">
        <v>61</v>
      </c>
      <c r="B29" s="10" t="s">
        <v>62</v>
      </c>
      <c r="C29" s="10" t="s">
        <v>54</v>
      </c>
      <c r="D29" s="10" t="s">
        <v>63</v>
      </c>
      <c r="E29" s="10">
        <f>COUNTA('UJ-05'!A13:A60)</f>
        <v>6</v>
      </c>
      <c r="F29" s="10" t="s">
        <v>64</v>
      </c>
    </row>
    <row r="30" spans="1:6" ht="25" x14ac:dyDescent="0.35">
      <c r="A30" s="9" t="s">
        <v>65</v>
      </c>
      <c r="B30" s="10" t="s">
        <v>66</v>
      </c>
      <c r="C30" s="10" t="s">
        <v>54</v>
      </c>
      <c r="D30" s="10" t="s">
        <v>67</v>
      </c>
      <c r="E30" s="10">
        <f>COUNTA('UJ-06'!A13:A60)</f>
        <v>3</v>
      </c>
      <c r="F30" s="10" t="s">
        <v>68</v>
      </c>
    </row>
    <row r="31" spans="1:6" ht="25" x14ac:dyDescent="0.35">
      <c r="A31" s="9" t="s">
        <v>69</v>
      </c>
      <c r="B31" s="10" t="s">
        <v>70</v>
      </c>
      <c r="C31" s="10" t="s">
        <v>71</v>
      </c>
      <c r="D31" s="10" t="s">
        <v>72</v>
      </c>
      <c r="E31" s="10">
        <f>COUNTA('UJ-07'!A13:A60)</f>
        <v>5</v>
      </c>
      <c r="F31" s="10" t="s">
        <v>73</v>
      </c>
    </row>
    <row r="32" spans="1:6" ht="25" x14ac:dyDescent="0.35">
      <c r="A32" s="9" t="s">
        <v>74</v>
      </c>
      <c r="B32" s="10" t="s">
        <v>75</v>
      </c>
      <c r="C32" s="10" t="s">
        <v>76</v>
      </c>
      <c r="D32" s="10" t="s">
        <v>77</v>
      </c>
      <c r="E32" s="10">
        <f>COUNTA('UJ-08'!A13:A60)</f>
        <v>6</v>
      </c>
      <c r="F32" s="10" t="s">
        <v>78</v>
      </c>
    </row>
    <row r="33" spans="1:6" ht="25" x14ac:dyDescent="0.35">
      <c r="A33" s="9" t="s">
        <v>79</v>
      </c>
      <c r="B33" s="10" t="s">
        <v>80</v>
      </c>
      <c r="C33" s="10" t="s">
        <v>54</v>
      </c>
      <c r="D33" s="10" t="s">
        <v>67</v>
      </c>
      <c r="E33" s="10">
        <f>COUNTA('UJ-09'!A13:A60)</f>
        <v>7</v>
      </c>
      <c r="F33" s="10" t="s">
        <v>81</v>
      </c>
    </row>
    <row r="34" spans="1:6" ht="25" x14ac:dyDescent="0.35">
      <c r="A34" s="9" t="s">
        <v>82</v>
      </c>
      <c r="B34" s="10" t="s">
        <v>83</v>
      </c>
      <c r="C34" s="10" t="s">
        <v>84</v>
      </c>
      <c r="D34" s="10" t="s">
        <v>67</v>
      </c>
      <c r="E34" s="10">
        <f>COUNTA('UJ-10'!A13:A60)</f>
        <v>7</v>
      </c>
      <c r="F34" s="10" t="s">
        <v>85</v>
      </c>
    </row>
    <row r="35" spans="1:6" ht="25" x14ac:dyDescent="0.35">
      <c r="A35" s="9" t="s">
        <v>86</v>
      </c>
      <c r="B35" s="10" t="s">
        <v>87</v>
      </c>
      <c r="C35" s="10" t="s">
        <v>84</v>
      </c>
      <c r="D35" s="10" t="s">
        <v>88</v>
      </c>
      <c r="E35" s="10">
        <f>COUNTA('UJ-11'!A13:A60)</f>
        <v>5</v>
      </c>
      <c r="F35" s="10" t="s">
        <v>89</v>
      </c>
    </row>
    <row r="36" spans="1:6" ht="37.5" x14ac:dyDescent="0.35">
      <c r="A36" s="9" t="s">
        <v>90</v>
      </c>
      <c r="B36" s="10" t="s">
        <v>91</v>
      </c>
      <c r="C36" s="10" t="s">
        <v>92</v>
      </c>
      <c r="D36" s="10" t="s">
        <v>93</v>
      </c>
      <c r="E36" s="10">
        <f>COUNTA('UJ-12'!A13:A60)</f>
        <v>7</v>
      </c>
      <c r="F36" s="10" t="s">
        <v>94</v>
      </c>
    </row>
    <row r="37" spans="1:6" ht="25" x14ac:dyDescent="0.35">
      <c r="A37" s="9" t="s">
        <v>95</v>
      </c>
      <c r="B37" s="10" t="s">
        <v>96</v>
      </c>
      <c r="C37" s="10" t="s">
        <v>97</v>
      </c>
      <c r="D37" s="10" t="s">
        <v>98</v>
      </c>
      <c r="E37" s="10">
        <f>COUNTA('UJ-13'!A13:A60)</f>
        <v>10</v>
      </c>
      <c r="F37" s="10" t="s">
        <v>99</v>
      </c>
    </row>
    <row r="38" spans="1:6" ht="25" x14ac:dyDescent="0.35">
      <c r="A38" s="9" t="s">
        <v>100</v>
      </c>
      <c r="B38" s="10" t="s">
        <v>101</v>
      </c>
      <c r="C38" s="10" t="s">
        <v>84</v>
      </c>
      <c r="D38" s="10" t="s">
        <v>102</v>
      </c>
      <c r="E38" s="10">
        <f>COUNTA('UJ-14'!A13:A60)</f>
        <v>6</v>
      </c>
      <c r="F38" s="10" t="s">
        <v>103</v>
      </c>
    </row>
    <row r="39" spans="1:6" ht="25" x14ac:dyDescent="0.35">
      <c r="A39" s="9" t="s">
        <v>104</v>
      </c>
      <c r="B39" s="10" t="s">
        <v>105</v>
      </c>
      <c r="C39" s="10" t="s">
        <v>54</v>
      </c>
      <c r="D39" s="10" t="s">
        <v>106</v>
      </c>
      <c r="E39" s="10">
        <f>COUNTA('UJ-15'!A13:A60)</f>
        <v>5</v>
      </c>
      <c r="F39" s="10" t="s">
        <v>107</v>
      </c>
    </row>
    <row r="40" spans="1:6" ht="25" x14ac:dyDescent="0.35">
      <c r="A40" s="9" t="s">
        <v>108</v>
      </c>
      <c r="B40" s="10" t="s">
        <v>109</v>
      </c>
      <c r="C40" s="10" t="s">
        <v>110</v>
      </c>
      <c r="D40" s="10" t="s">
        <v>111</v>
      </c>
      <c r="E40" s="10">
        <f>COUNTA('UJ-16'!A13:A60)</f>
        <v>8</v>
      </c>
      <c r="F40" s="10" t="s">
        <v>112</v>
      </c>
    </row>
    <row r="41" spans="1:6" ht="25" x14ac:dyDescent="0.35">
      <c r="A41" s="9" t="s">
        <v>113</v>
      </c>
      <c r="B41" s="10" t="s">
        <v>114</v>
      </c>
      <c r="C41" s="10" t="s">
        <v>115</v>
      </c>
      <c r="D41" s="10" t="s">
        <v>116</v>
      </c>
      <c r="E41" s="10">
        <f>COUNTA('UJ-17'!A13:A60)</f>
        <v>7</v>
      </c>
      <c r="F41" s="10" t="s">
        <v>117</v>
      </c>
    </row>
    <row r="42" spans="1:6" x14ac:dyDescent="0.35">
      <c r="A42" s="9" t="s">
        <v>118</v>
      </c>
      <c r="B42" s="10" t="s">
        <v>119</v>
      </c>
      <c r="C42" s="10" t="s">
        <v>120</v>
      </c>
      <c r="D42" s="10" t="s">
        <v>121</v>
      </c>
      <c r="E42" s="10">
        <f>COUNTA('UJ-18'!A13:A60)</f>
        <v>9</v>
      </c>
      <c r="F42" s="10" t="s">
        <v>122</v>
      </c>
    </row>
    <row r="43" spans="1:6" ht="25" x14ac:dyDescent="0.35">
      <c r="A43" s="9" t="s">
        <v>123</v>
      </c>
      <c r="B43" s="10" t="s">
        <v>124</v>
      </c>
      <c r="C43" s="10" t="s">
        <v>84</v>
      </c>
      <c r="D43" s="10" t="s">
        <v>125</v>
      </c>
      <c r="E43" s="10">
        <f>COUNTA('UJ-19'!A13:A60)</f>
        <v>6</v>
      </c>
      <c r="F43" s="10" t="s">
        <v>126</v>
      </c>
    </row>
    <row r="44" spans="1:6" ht="25" x14ac:dyDescent="0.35">
      <c r="A44" s="9" t="s">
        <v>127</v>
      </c>
      <c r="B44" s="10" t="s">
        <v>128</v>
      </c>
      <c r="C44" s="10" t="s">
        <v>129</v>
      </c>
      <c r="D44" s="10" t="s">
        <v>130</v>
      </c>
      <c r="E44" s="10">
        <f>COUNTA('UJ-20'!A13:A60)</f>
        <v>10</v>
      </c>
      <c r="F44" s="10" t="s">
        <v>131</v>
      </c>
    </row>
    <row r="46" spans="1:6" x14ac:dyDescent="0.35">
      <c r="A46" s="3" t="s">
        <v>132</v>
      </c>
    </row>
    <row r="47" spans="1:6" x14ac:dyDescent="0.35">
      <c r="A47" s="11" t="s">
        <v>4</v>
      </c>
      <c r="B47" s="19" t="s">
        <v>133</v>
      </c>
      <c r="C47" s="20"/>
      <c r="D47" s="20"/>
      <c r="E47" s="20"/>
      <c r="F47" s="20"/>
    </row>
    <row r="48" spans="1:6" x14ac:dyDescent="0.35">
      <c r="A48" s="11" t="s">
        <v>134</v>
      </c>
      <c r="B48" s="19" t="s">
        <v>135</v>
      </c>
      <c r="C48" s="20"/>
      <c r="D48" s="20"/>
      <c r="E48" s="20"/>
      <c r="F48" s="20"/>
    </row>
    <row r="49" spans="1:6" x14ac:dyDescent="0.35">
      <c r="A49" s="11" t="s">
        <v>136</v>
      </c>
      <c r="B49" s="19" t="s">
        <v>137</v>
      </c>
      <c r="C49" s="20"/>
      <c r="D49" s="20"/>
      <c r="E49" s="20"/>
      <c r="F49" s="20"/>
    </row>
    <row r="50" spans="1:6" x14ac:dyDescent="0.35">
      <c r="A50" s="11" t="s">
        <v>138</v>
      </c>
      <c r="B50" s="19" t="s">
        <v>139</v>
      </c>
      <c r="C50" s="20"/>
      <c r="D50" s="20"/>
      <c r="E50" s="20"/>
      <c r="F50" s="20"/>
    </row>
    <row r="51" spans="1:6" x14ac:dyDescent="0.35">
      <c r="A51" s="11" t="s">
        <v>140</v>
      </c>
      <c r="B51" s="19" t="s">
        <v>141</v>
      </c>
      <c r="C51" s="20"/>
      <c r="D51" s="20"/>
      <c r="E51" s="20"/>
      <c r="F51" s="20"/>
    </row>
    <row r="52" spans="1:6" x14ac:dyDescent="0.35">
      <c r="A52" s="11" t="s">
        <v>142</v>
      </c>
      <c r="B52" s="19" t="s">
        <v>143</v>
      </c>
      <c r="C52" s="20"/>
      <c r="D52" s="20"/>
      <c r="E52" s="20"/>
      <c r="F52" s="20"/>
    </row>
    <row r="53" spans="1:6" x14ac:dyDescent="0.35">
      <c r="A53" s="11" t="s">
        <v>144</v>
      </c>
      <c r="B53" s="19" t="s">
        <v>145</v>
      </c>
      <c r="C53" s="20"/>
      <c r="D53" s="20"/>
      <c r="E53" s="20"/>
      <c r="F53" s="20"/>
    </row>
    <row r="54" spans="1:6" x14ac:dyDescent="0.35">
      <c r="A54" s="11" t="s">
        <v>146</v>
      </c>
      <c r="B54" s="19" t="s">
        <v>147</v>
      </c>
      <c r="C54" s="20"/>
      <c r="D54" s="20"/>
      <c r="E54" s="20"/>
      <c r="F54" s="20"/>
    </row>
    <row r="55" spans="1:6" x14ac:dyDescent="0.35">
      <c r="A55" s="11" t="s">
        <v>148</v>
      </c>
      <c r="B55" s="19" t="s">
        <v>149</v>
      </c>
      <c r="C55" s="20"/>
      <c r="D55" s="20"/>
      <c r="E55" s="20"/>
      <c r="F55" s="20"/>
    </row>
    <row r="56" spans="1:6" x14ac:dyDescent="0.35">
      <c r="A56" s="11" t="s">
        <v>150</v>
      </c>
      <c r="B56" s="19" t="s">
        <v>151</v>
      </c>
      <c r="C56" s="20"/>
      <c r="D56" s="20"/>
      <c r="E56" s="20"/>
      <c r="F56" s="20"/>
    </row>
    <row r="57" spans="1:6" x14ac:dyDescent="0.35">
      <c r="A57" s="11" t="s">
        <v>152</v>
      </c>
      <c r="B57" s="19" t="s">
        <v>153</v>
      </c>
      <c r="C57" s="20"/>
      <c r="D57" s="20"/>
      <c r="E57" s="20"/>
      <c r="F57" s="20"/>
    </row>
  </sheetData>
  <mergeCells count="18">
    <mergeCell ref="B47:F47"/>
    <mergeCell ref="B53:F53"/>
    <mergeCell ref="B4:H4"/>
    <mergeCell ref="B51:F51"/>
    <mergeCell ref="B56:F56"/>
    <mergeCell ref="B48:F48"/>
    <mergeCell ref="B57:F57"/>
    <mergeCell ref="B50:F50"/>
    <mergeCell ref="B5:H5"/>
    <mergeCell ref="B6:H6"/>
    <mergeCell ref="B9:H9"/>
    <mergeCell ref="B10:H10"/>
    <mergeCell ref="B49:F49"/>
    <mergeCell ref="B52:F52"/>
    <mergeCell ref="B55:F55"/>
    <mergeCell ref="B7:H7"/>
    <mergeCell ref="B54:F54"/>
    <mergeCell ref="B8:H8"/>
  </mergeCells>
  <hyperlinks>
    <hyperlink ref="A25" location="'UJ-01'!A1" display="UJ-01" xr:uid="{00000000-0004-0000-0000-000000000000}"/>
    <hyperlink ref="A26" location="'UJ-02'!A1" display="UJ-02" xr:uid="{00000000-0004-0000-0000-000001000000}"/>
    <hyperlink ref="A27" location="'UJ-03'!A1" display="UJ-03" xr:uid="{00000000-0004-0000-0000-000002000000}"/>
    <hyperlink ref="A28" location="'UJ-04'!A1" display="UJ-04" xr:uid="{00000000-0004-0000-0000-000003000000}"/>
    <hyperlink ref="A29" location="'UJ-05'!A1" display="UJ-05" xr:uid="{00000000-0004-0000-0000-000004000000}"/>
    <hyperlink ref="A30" location="'UJ-06'!A1" display="UJ-06" xr:uid="{00000000-0004-0000-0000-000005000000}"/>
    <hyperlink ref="A31" location="'UJ-07'!A1" display="UJ-07" xr:uid="{00000000-0004-0000-0000-000006000000}"/>
    <hyperlink ref="A32" location="'UJ-08'!A1" display="UJ-08" xr:uid="{00000000-0004-0000-0000-000007000000}"/>
    <hyperlink ref="A33" location="'UJ-09'!A1" display="UJ-09" xr:uid="{00000000-0004-0000-0000-000008000000}"/>
    <hyperlink ref="A34" location="'UJ-10'!A1" display="UJ-10" xr:uid="{00000000-0004-0000-0000-000009000000}"/>
    <hyperlink ref="A35" location="'UJ-11'!A1" display="UJ-11" xr:uid="{00000000-0004-0000-0000-00000A000000}"/>
    <hyperlink ref="A36" location="'UJ-12'!A1" display="UJ-12" xr:uid="{00000000-0004-0000-0000-00000B000000}"/>
    <hyperlink ref="A37" location="'UJ-13'!A1" display="UJ-13" xr:uid="{00000000-0004-0000-0000-00000C000000}"/>
    <hyperlink ref="A38" location="'UJ-14'!A1" display="UJ-14" xr:uid="{00000000-0004-0000-0000-00000D000000}"/>
    <hyperlink ref="A39" location="'UJ-15'!A1" display="UJ-15" xr:uid="{00000000-0004-0000-0000-00000E000000}"/>
    <hyperlink ref="A40" location="'UJ-16'!A1" display="UJ-16" xr:uid="{00000000-0004-0000-0000-00000F000000}"/>
    <hyperlink ref="A41" location="'UJ-17'!A1" display="UJ-17" xr:uid="{00000000-0004-0000-0000-000010000000}"/>
    <hyperlink ref="A42" location="'UJ-18'!A1" display="UJ-18" xr:uid="{00000000-0004-0000-0000-000011000000}"/>
    <hyperlink ref="A43" location="'UJ-19'!A1" display="UJ-19" xr:uid="{00000000-0004-0000-0000-000012000000}"/>
    <hyperlink ref="A44" location="'UJ-20'!A1" display="UJ-20" xr:uid="{00000000-0004-0000-0000-000013000000}"/>
    <hyperlink ref="A47" location="'Architecture'!A1" display="Architecture" xr:uid="{00000000-0004-0000-0000-000014000000}"/>
    <hyperlink ref="A48" location="'Microservices'!A1" display="Microservices" xr:uid="{00000000-0004-0000-0000-000015000000}"/>
    <hyperlink ref="A49" location="'API Endpoints'!A1" display="API Endpoints" xr:uid="{00000000-0004-0000-0000-000016000000}"/>
    <hyperlink ref="A50" location="'Service Methods'!A1" display="Service Methods" xr:uid="{00000000-0004-0000-0000-000017000000}"/>
    <hyperlink ref="A51" location="'Inter-Service Calls'!A1" display="Inter-Service Calls" xr:uid="{00000000-0004-0000-0000-000018000000}"/>
    <hyperlink ref="A52" location="'Scheduled Jobs'!A1" display="Scheduled Jobs" xr:uid="{00000000-0004-0000-0000-000019000000}"/>
    <hyperlink ref="A53" location="'Data Model'!A1" display="Data Model" xr:uid="{00000000-0004-0000-0000-00001A000000}"/>
    <hyperlink ref="A54" location="'Status Lifecycles'!A1" display="Status Lifecycles" xr:uid="{00000000-0004-0000-0000-00001B000000}"/>
    <hyperlink ref="A55" location="'Frontend Pages'!A1" display="Frontend Pages" xr:uid="{00000000-0004-0000-0000-00001C000000}"/>
    <hyperlink ref="A56" location="'UJ-01'!A1" display="UJ-01 ... UJ-20" xr:uid="{00000000-0004-0000-0000-00001D000000}"/>
    <hyperlink ref="A57" location="'Findings'!A1" display="Findings" xr:uid="{00000000-0004-0000-0000-00001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R12"/>
  <sheetViews>
    <sheetView showGridLines="0" zoomScale="82" workbookViewId="0">
      <pane xSplit="1" ySplit="3" topLeftCell="B11" activePane="bottomRight" state="frozen"/>
      <selection pane="topRight"/>
      <selection pane="bottomLeft"/>
      <selection pane="bottomRight" activeCell="C7" sqref="C7"/>
    </sheetView>
  </sheetViews>
  <sheetFormatPr defaultRowHeight="14.5" x14ac:dyDescent="0.35"/>
  <cols>
    <col min="1" max="1" width="22" customWidth="1"/>
    <col min="2" max="2" width="20" customWidth="1"/>
    <col min="3" max="3" width="7" customWidth="1"/>
    <col min="4" max="4" width="60" customWidth="1"/>
    <col min="5" max="5" width="34" customWidth="1"/>
    <col min="6" max="6" width="30" customWidth="1"/>
    <col min="7" max="7" width="45" customWidth="1"/>
    <col min="8" max="8" width="70" customWidth="1"/>
    <col min="9" max="9" width="36" customWidth="1"/>
    <col min="10" max="10" width="40" customWidth="1"/>
    <col min="11" max="11" width="55" customWidth="1"/>
    <col min="12" max="14" width="30" customWidth="1"/>
    <col min="15" max="15" width="11" customWidth="1"/>
    <col min="16" max="18" width="9" customWidth="1"/>
  </cols>
  <sheetData>
    <row r="1" spans="1:18" ht="20" x14ac:dyDescent="0.4">
      <c r="A1" s="1" t="s">
        <v>163</v>
      </c>
    </row>
    <row r="3" spans="1:18" ht="26" x14ac:dyDescent="0.35">
      <c r="A3" s="8" t="s">
        <v>164</v>
      </c>
      <c r="B3" s="8" t="s">
        <v>165</v>
      </c>
      <c r="C3" s="8" t="s">
        <v>166</v>
      </c>
      <c r="D3" s="8" t="s">
        <v>167</v>
      </c>
      <c r="E3" s="8" t="s">
        <v>168</v>
      </c>
      <c r="F3" s="8" t="s">
        <v>169</v>
      </c>
      <c r="G3" s="8" t="s">
        <v>170</v>
      </c>
      <c r="H3" s="8" t="s">
        <v>171</v>
      </c>
      <c r="I3" s="8" t="s">
        <v>172</v>
      </c>
      <c r="J3" s="8" t="s">
        <v>173</v>
      </c>
      <c r="K3" s="8" t="s">
        <v>174</v>
      </c>
      <c r="L3" s="8" t="s">
        <v>175</v>
      </c>
      <c r="M3" s="8" t="s">
        <v>176</v>
      </c>
      <c r="N3" s="8" t="s">
        <v>177</v>
      </c>
      <c r="O3" s="8" t="s">
        <v>178</v>
      </c>
      <c r="P3" s="8" t="s">
        <v>179</v>
      </c>
      <c r="Q3" s="8" t="s">
        <v>180</v>
      </c>
      <c r="R3" s="8" t="s">
        <v>181</v>
      </c>
    </row>
    <row r="4" spans="1:18" ht="25" x14ac:dyDescent="0.35">
      <c r="A4" s="10" t="s">
        <v>182</v>
      </c>
      <c r="B4" s="10" t="s">
        <v>183</v>
      </c>
      <c r="C4" s="10">
        <v>8761</v>
      </c>
      <c r="D4" s="10" t="s">
        <v>184</v>
      </c>
      <c r="E4" s="10" t="s">
        <v>185</v>
      </c>
      <c r="F4" s="10" t="s">
        <v>186</v>
      </c>
      <c r="G4" s="10" t="s">
        <v>187</v>
      </c>
      <c r="H4" s="10" t="s">
        <v>187</v>
      </c>
      <c r="I4" s="10" t="s">
        <v>187</v>
      </c>
      <c r="J4" s="10" t="s">
        <v>187</v>
      </c>
      <c r="K4" s="10" t="s">
        <v>187</v>
      </c>
      <c r="L4" s="10" t="s">
        <v>187</v>
      </c>
      <c r="M4" s="10" t="s">
        <v>187</v>
      </c>
      <c r="N4" s="10" t="s">
        <v>188</v>
      </c>
      <c r="O4" s="10">
        <f>COUNTIFS('API Endpoints'!B$4:B$399,A4)</f>
        <v>0</v>
      </c>
      <c r="P4" s="10">
        <f>COUNTIFS('API Endpoints'!B$4:B$399,A4,'API Endpoints'!H$4:H$399,"Public")</f>
        <v>0</v>
      </c>
      <c r="Q4" s="10">
        <f>COUNTIFS('API Endpoints'!B$4:B$399,A4,'API Endpoints'!H$4:H$399,"Secured")</f>
        <v>0</v>
      </c>
      <c r="R4" s="10">
        <f>COUNTIFS('API Endpoints'!B$4:B$399,A4,'API Endpoints'!H$4:H$399,"Internal")</f>
        <v>0</v>
      </c>
    </row>
    <row r="5" spans="1:18" ht="62.5" x14ac:dyDescent="0.35">
      <c r="A5" s="12" t="s">
        <v>189</v>
      </c>
      <c r="B5" s="12" t="s">
        <v>190</v>
      </c>
      <c r="C5" s="12">
        <v>8080</v>
      </c>
      <c r="D5" s="12" t="s">
        <v>191</v>
      </c>
      <c r="E5" s="12" t="s">
        <v>192</v>
      </c>
      <c r="F5" s="12" t="s">
        <v>186</v>
      </c>
      <c r="G5" s="12" t="s">
        <v>187</v>
      </c>
      <c r="H5" s="12" t="s">
        <v>187</v>
      </c>
      <c r="I5" s="12" t="s">
        <v>187</v>
      </c>
      <c r="J5" s="12" t="s">
        <v>187</v>
      </c>
      <c r="K5" s="12" t="s">
        <v>187</v>
      </c>
      <c r="L5" s="12" t="s">
        <v>187</v>
      </c>
      <c r="M5" s="12" t="s">
        <v>193</v>
      </c>
      <c r="N5" s="12" t="s">
        <v>194</v>
      </c>
      <c r="O5" s="12">
        <f>COUNTIFS('API Endpoints'!B$4:B$399,A5)</f>
        <v>0</v>
      </c>
      <c r="P5" s="12">
        <f>COUNTIFS('API Endpoints'!B$4:B$399,A5,'API Endpoints'!H$4:H$399,"Public")</f>
        <v>0</v>
      </c>
      <c r="Q5" s="12">
        <f>COUNTIFS('API Endpoints'!B$4:B$399,A5,'API Endpoints'!H$4:H$399,"Secured")</f>
        <v>0</v>
      </c>
      <c r="R5" s="12">
        <f>COUNTIFS('API Endpoints'!B$4:B$399,A5,'API Endpoints'!H$4:H$399,"Internal")</f>
        <v>0</v>
      </c>
    </row>
    <row r="6" spans="1:18" ht="37.5" x14ac:dyDescent="0.35">
      <c r="A6" s="10" t="s">
        <v>195</v>
      </c>
      <c r="B6" s="10" t="s">
        <v>196</v>
      </c>
      <c r="C6" s="10">
        <v>8081</v>
      </c>
      <c r="D6" s="10" t="s">
        <v>197</v>
      </c>
      <c r="E6" s="10" t="s">
        <v>198</v>
      </c>
      <c r="F6" s="10" t="s">
        <v>199</v>
      </c>
      <c r="G6" s="10" t="s">
        <v>200</v>
      </c>
      <c r="H6" s="10" t="s">
        <v>201</v>
      </c>
      <c r="I6" s="10" t="s">
        <v>202</v>
      </c>
      <c r="J6" s="10" t="s">
        <v>203</v>
      </c>
      <c r="K6" s="10" t="s">
        <v>204</v>
      </c>
      <c r="L6" s="10" t="s">
        <v>187</v>
      </c>
      <c r="M6" s="10" t="s">
        <v>205</v>
      </c>
      <c r="N6" s="10" t="s">
        <v>206</v>
      </c>
      <c r="O6" s="10">
        <f>COUNTIFS('API Endpoints'!B$4:B$399,A6)</f>
        <v>18</v>
      </c>
      <c r="P6" s="10">
        <f>COUNTIFS('API Endpoints'!B$4:B$399,A6,'API Endpoints'!H$4:H$399,"Public")</f>
        <v>7</v>
      </c>
      <c r="Q6" s="10">
        <f>COUNTIFS('API Endpoints'!B$4:B$399,A6,'API Endpoints'!H$4:H$399,"Secured")</f>
        <v>11</v>
      </c>
      <c r="R6" s="10">
        <f>COUNTIFS('API Endpoints'!B$4:B$399,A6,'API Endpoints'!H$4:H$399,"Internal")</f>
        <v>0</v>
      </c>
    </row>
    <row r="7" spans="1:18" ht="137.5" x14ac:dyDescent="0.35">
      <c r="A7" s="12" t="s">
        <v>207</v>
      </c>
      <c r="B7" s="12" t="s">
        <v>208</v>
      </c>
      <c r="C7" s="12">
        <v>8082</v>
      </c>
      <c r="D7" s="12" t="s">
        <v>209</v>
      </c>
      <c r="E7" s="12" t="s">
        <v>210</v>
      </c>
      <c r="F7" s="12" t="s">
        <v>211</v>
      </c>
      <c r="G7" s="12" t="s">
        <v>212</v>
      </c>
      <c r="H7" s="12" t="s">
        <v>213</v>
      </c>
      <c r="I7" s="12" t="s">
        <v>214</v>
      </c>
      <c r="J7" s="12" t="s">
        <v>215</v>
      </c>
      <c r="K7" s="12" t="s">
        <v>216</v>
      </c>
      <c r="L7" s="12" t="s">
        <v>217</v>
      </c>
      <c r="M7" s="12" t="s">
        <v>218</v>
      </c>
      <c r="N7" s="12" t="s">
        <v>219</v>
      </c>
      <c r="O7" s="12">
        <f>COUNTIFS('API Endpoints'!B$4:B$399,A7)</f>
        <v>38</v>
      </c>
      <c r="P7" s="12">
        <f>COUNTIFS('API Endpoints'!B$4:B$399,A7,'API Endpoints'!H$4:H$399,"Public")</f>
        <v>4</v>
      </c>
      <c r="Q7" s="12">
        <f>COUNTIFS('API Endpoints'!B$4:B$399,A7,'API Endpoints'!H$4:H$399,"Secured")</f>
        <v>27</v>
      </c>
      <c r="R7" s="12">
        <f>COUNTIFS('API Endpoints'!B$4:B$399,A7,'API Endpoints'!H$4:H$399,"Internal")</f>
        <v>7</v>
      </c>
    </row>
    <row r="8" spans="1:18" ht="50" x14ac:dyDescent="0.35">
      <c r="A8" s="10" t="s">
        <v>220</v>
      </c>
      <c r="B8" s="10" t="s">
        <v>221</v>
      </c>
      <c r="C8" s="10">
        <v>8083</v>
      </c>
      <c r="D8" s="10" t="s">
        <v>222</v>
      </c>
      <c r="E8" s="10" t="s">
        <v>223</v>
      </c>
      <c r="F8" s="10" t="s">
        <v>224</v>
      </c>
      <c r="G8" s="10" t="s">
        <v>225</v>
      </c>
      <c r="H8" s="10" t="s">
        <v>226</v>
      </c>
      <c r="I8" s="10" t="s">
        <v>227</v>
      </c>
      <c r="J8" s="10" t="s">
        <v>228</v>
      </c>
      <c r="K8" s="10" t="s">
        <v>229</v>
      </c>
      <c r="L8" s="10" t="s">
        <v>187</v>
      </c>
      <c r="M8" s="10" t="s">
        <v>230</v>
      </c>
      <c r="N8" s="10" t="s">
        <v>231</v>
      </c>
      <c r="O8" s="10">
        <f>COUNTIFS('API Endpoints'!B$4:B$399,A8)</f>
        <v>25</v>
      </c>
      <c r="P8" s="10">
        <f>COUNTIFS('API Endpoints'!B$4:B$399,A8,'API Endpoints'!H$4:H$399,"Public")</f>
        <v>0</v>
      </c>
      <c r="Q8" s="10">
        <f>COUNTIFS('API Endpoints'!B$4:B$399,A8,'API Endpoints'!H$4:H$399,"Secured")</f>
        <v>22</v>
      </c>
      <c r="R8" s="10">
        <f>COUNTIFS('API Endpoints'!B$4:B$399,A8,'API Endpoints'!H$4:H$399,"Internal")</f>
        <v>3</v>
      </c>
    </row>
    <row r="9" spans="1:18" ht="162.5" x14ac:dyDescent="0.35">
      <c r="A9" s="12" t="s">
        <v>232</v>
      </c>
      <c r="B9" s="12" t="s">
        <v>233</v>
      </c>
      <c r="C9" s="12">
        <v>8087</v>
      </c>
      <c r="D9" s="12" t="s">
        <v>234</v>
      </c>
      <c r="E9" s="12" t="s">
        <v>235</v>
      </c>
      <c r="F9" s="12" t="s">
        <v>236</v>
      </c>
      <c r="G9" s="12" t="s">
        <v>237</v>
      </c>
      <c r="H9" s="12" t="s">
        <v>238</v>
      </c>
      <c r="I9" s="12" t="s">
        <v>239</v>
      </c>
      <c r="J9" s="12" t="s">
        <v>240</v>
      </c>
      <c r="K9" s="12" t="s">
        <v>241</v>
      </c>
      <c r="L9" s="12" t="s">
        <v>242</v>
      </c>
      <c r="M9" s="12" t="s">
        <v>243</v>
      </c>
      <c r="N9" s="12" t="s">
        <v>244</v>
      </c>
      <c r="O9" s="12">
        <f>COUNTIFS('API Endpoints'!B$4:B$399,A9)</f>
        <v>63</v>
      </c>
      <c r="P9" s="12">
        <f>COUNTIFS('API Endpoints'!B$4:B$399,A9,'API Endpoints'!H$4:H$399,"Public")</f>
        <v>0</v>
      </c>
      <c r="Q9" s="12">
        <f>COUNTIFS('API Endpoints'!B$4:B$399,A9,'API Endpoints'!H$4:H$399,"Secured")</f>
        <v>56</v>
      </c>
      <c r="R9" s="12">
        <f>COUNTIFS('API Endpoints'!B$4:B$399,A9,'API Endpoints'!H$4:H$399,"Internal")</f>
        <v>7</v>
      </c>
    </row>
    <row r="10" spans="1:18" ht="62.5" x14ac:dyDescent="0.35">
      <c r="A10" s="10" t="s">
        <v>245</v>
      </c>
      <c r="B10" s="10" t="s">
        <v>246</v>
      </c>
      <c r="C10" s="10">
        <v>8088</v>
      </c>
      <c r="D10" s="10" t="s">
        <v>247</v>
      </c>
      <c r="E10" s="10" t="s">
        <v>248</v>
      </c>
      <c r="F10" s="10" t="s">
        <v>249</v>
      </c>
      <c r="G10" s="10" t="s">
        <v>250</v>
      </c>
      <c r="H10" s="10" t="s">
        <v>251</v>
      </c>
      <c r="I10" s="10" t="s">
        <v>252</v>
      </c>
      <c r="J10" s="10" t="s">
        <v>253</v>
      </c>
      <c r="K10" s="10" t="s">
        <v>254</v>
      </c>
      <c r="L10" s="10" t="s">
        <v>255</v>
      </c>
      <c r="M10" s="10" t="s">
        <v>256</v>
      </c>
      <c r="N10" s="10" t="s">
        <v>257</v>
      </c>
      <c r="O10" s="10">
        <f>COUNTIFS('API Endpoints'!B$4:B$399,A10)</f>
        <v>36</v>
      </c>
      <c r="P10" s="10">
        <f>COUNTIFS('API Endpoints'!B$4:B$399,A10,'API Endpoints'!H$4:H$399,"Public")</f>
        <v>0</v>
      </c>
      <c r="Q10" s="10">
        <f>COUNTIFS('API Endpoints'!B$4:B$399,A10,'API Endpoints'!H$4:H$399,"Secured")</f>
        <v>30</v>
      </c>
      <c r="R10" s="10">
        <f>COUNTIFS('API Endpoints'!B$4:B$399,A10,'API Endpoints'!H$4:H$399,"Internal")</f>
        <v>6</v>
      </c>
    </row>
    <row r="11" spans="1:18" ht="337.5" x14ac:dyDescent="0.35">
      <c r="A11" s="12" t="s">
        <v>258</v>
      </c>
      <c r="B11" s="12" t="s">
        <v>259</v>
      </c>
      <c r="C11" s="12">
        <v>8085</v>
      </c>
      <c r="D11" s="12" t="s">
        <v>260</v>
      </c>
      <c r="E11" s="12" t="s">
        <v>261</v>
      </c>
      <c r="F11" s="12" t="s">
        <v>262</v>
      </c>
      <c r="G11" s="12" t="s">
        <v>263</v>
      </c>
      <c r="H11" s="12" t="s">
        <v>264</v>
      </c>
      <c r="I11" s="12" t="s">
        <v>265</v>
      </c>
      <c r="J11" s="12" t="s">
        <v>266</v>
      </c>
      <c r="K11" s="12" t="s">
        <v>267</v>
      </c>
      <c r="L11" s="12" t="s">
        <v>268</v>
      </c>
      <c r="M11" s="12" t="s">
        <v>269</v>
      </c>
      <c r="N11" s="12" t="s">
        <v>270</v>
      </c>
      <c r="O11" s="12">
        <f>COUNTIFS('API Endpoints'!B$4:B$399,A11)</f>
        <v>27</v>
      </c>
      <c r="P11" s="12">
        <f>COUNTIFS('API Endpoints'!B$4:B$399,A11,'API Endpoints'!H$4:H$399,"Public")</f>
        <v>0</v>
      </c>
      <c r="Q11" s="12">
        <f>COUNTIFS('API Endpoints'!B$4:B$399,A11,'API Endpoints'!H$4:H$399,"Secured")</f>
        <v>25</v>
      </c>
      <c r="R11" s="12">
        <f>COUNTIFS('API Endpoints'!B$4:B$399,A11,'API Endpoints'!H$4:H$399,"Internal")</f>
        <v>2</v>
      </c>
    </row>
    <row r="12" spans="1:18" x14ac:dyDescent="0.35">
      <c r="A12" s="5" t="s">
        <v>271</v>
      </c>
      <c r="O12" s="5">
        <f>SUM(O4:O11)</f>
        <v>207</v>
      </c>
      <c r="P12" s="5">
        <f>SUM(P4:P11)</f>
        <v>11</v>
      </c>
      <c r="Q12" s="5">
        <f>SUM(Q4:Q11)</f>
        <v>171</v>
      </c>
      <c r="R12" s="5">
        <f>SUM(R4:R11)</f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P210"/>
  <sheetViews>
    <sheetView showGridLines="0" zoomScale="53" workbookViewId="0">
      <pane xSplit="6" ySplit="3" topLeftCell="N70" activePane="bottomRight" state="frozen"/>
      <selection pane="topRight"/>
      <selection pane="bottomLeft"/>
      <selection pane="bottomRight" activeCell="Y119" sqref="Y119"/>
    </sheetView>
  </sheetViews>
  <sheetFormatPr defaultRowHeight="18.5" x14ac:dyDescent="0.45"/>
  <cols>
    <col min="1" max="1" width="9" style="26" customWidth="1"/>
    <col min="2" max="2" width="20" style="26" customWidth="1"/>
    <col min="3" max="3" width="18" style="26" customWidth="1"/>
    <col min="4" max="4" width="22" style="26" customWidth="1"/>
    <col min="5" max="5" width="12.08984375" style="26" customWidth="1"/>
    <col min="6" max="6" width="46" style="26" customWidth="1"/>
    <col min="7" max="7" width="14" style="26" customWidth="1"/>
    <col min="8" max="8" width="9" style="26" customWidth="1"/>
    <col min="9" max="9" width="26" style="26" customWidth="1"/>
    <col min="10" max="10" width="32" style="26" customWidth="1"/>
    <col min="11" max="11" width="38" style="26" customWidth="1"/>
    <col min="12" max="12" width="40" style="26" customWidth="1"/>
    <col min="13" max="14" width="70" style="26" customWidth="1"/>
    <col min="15" max="15" width="36" style="26" customWidth="1"/>
    <col min="16" max="16" width="34" style="26" customWidth="1"/>
    <col min="17" max="16384" width="8.7265625" style="26"/>
  </cols>
  <sheetData>
    <row r="1" spans="1:16" x14ac:dyDescent="0.45">
      <c r="A1" s="25" t="s">
        <v>272</v>
      </c>
    </row>
    <row r="3" spans="1:16" ht="36" x14ac:dyDescent="0.45">
      <c r="A3" s="27" t="s">
        <v>273</v>
      </c>
      <c r="B3" s="27" t="s">
        <v>164</v>
      </c>
      <c r="C3" s="27" t="s">
        <v>165</v>
      </c>
      <c r="D3" s="27" t="s">
        <v>274</v>
      </c>
      <c r="E3" s="27" t="s">
        <v>275</v>
      </c>
      <c r="F3" s="27" t="s">
        <v>276</v>
      </c>
      <c r="G3" s="27" t="s">
        <v>277</v>
      </c>
      <c r="H3" s="27" t="s">
        <v>278</v>
      </c>
      <c r="I3" s="27" t="s">
        <v>279</v>
      </c>
      <c r="J3" s="27" t="s">
        <v>280</v>
      </c>
      <c r="K3" s="27" t="s">
        <v>281</v>
      </c>
      <c r="L3" s="27" t="s">
        <v>282</v>
      </c>
      <c r="M3" s="27" t="s">
        <v>283</v>
      </c>
      <c r="N3" s="27" t="s">
        <v>284</v>
      </c>
      <c r="O3" s="27" t="s">
        <v>285</v>
      </c>
      <c r="P3" s="27" t="s">
        <v>286</v>
      </c>
    </row>
    <row r="4" spans="1:16" ht="70" x14ac:dyDescent="0.45">
      <c r="A4" s="28" t="s">
        <v>287</v>
      </c>
      <c r="B4" s="28" t="s">
        <v>195</v>
      </c>
      <c r="C4" s="28" t="s">
        <v>196</v>
      </c>
      <c r="D4" s="28" t="s">
        <v>288</v>
      </c>
      <c r="E4" s="29" t="s">
        <v>289</v>
      </c>
      <c r="F4" s="28" t="s">
        <v>290</v>
      </c>
      <c r="G4" s="28" t="s">
        <v>291</v>
      </c>
      <c r="H4" s="28" t="s">
        <v>292</v>
      </c>
      <c r="I4" s="28" t="s">
        <v>293</v>
      </c>
      <c r="J4" s="28" t="s">
        <v>294</v>
      </c>
      <c r="K4" s="28" t="s">
        <v>295</v>
      </c>
      <c r="L4" s="28" t="s">
        <v>296</v>
      </c>
      <c r="M4" s="28" t="s">
        <v>297</v>
      </c>
      <c r="N4" s="28" t="s">
        <v>298</v>
      </c>
      <c r="O4" s="28" t="s">
        <v>299</v>
      </c>
      <c r="P4" s="28" t="s">
        <v>300</v>
      </c>
    </row>
    <row r="5" spans="1:16" ht="70" x14ac:dyDescent="0.45">
      <c r="A5" s="28" t="s">
        <v>301</v>
      </c>
      <c r="B5" s="28" t="s">
        <v>195</v>
      </c>
      <c r="C5" s="28" t="s">
        <v>196</v>
      </c>
      <c r="D5" s="28" t="s">
        <v>288</v>
      </c>
      <c r="E5" s="29" t="s">
        <v>289</v>
      </c>
      <c r="F5" s="28" t="s">
        <v>302</v>
      </c>
      <c r="G5" s="28" t="s">
        <v>291</v>
      </c>
      <c r="H5" s="28" t="s">
        <v>292</v>
      </c>
      <c r="I5" s="28" t="s">
        <v>293</v>
      </c>
      <c r="J5" s="28" t="s">
        <v>294</v>
      </c>
      <c r="K5" s="28" t="s">
        <v>303</v>
      </c>
      <c r="L5" s="28" t="s">
        <v>304</v>
      </c>
      <c r="M5" s="28" t="s">
        <v>305</v>
      </c>
      <c r="N5" s="28" t="s">
        <v>306</v>
      </c>
      <c r="O5" s="28" t="s">
        <v>307</v>
      </c>
      <c r="P5" s="28" t="s">
        <v>308</v>
      </c>
    </row>
    <row r="6" spans="1:16" ht="35" x14ac:dyDescent="0.45">
      <c r="A6" s="28" t="s">
        <v>309</v>
      </c>
      <c r="B6" s="28" t="s">
        <v>195</v>
      </c>
      <c r="C6" s="28" t="s">
        <v>196</v>
      </c>
      <c r="D6" s="28" t="s">
        <v>288</v>
      </c>
      <c r="E6" s="29" t="s">
        <v>289</v>
      </c>
      <c r="F6" s="28" t="s">
        <v>310</v>
      </c>
      <c r="G6" s="28" t="s">
        <v>291</v>
      </c>
      <c r="H6" s="28" t="s">
        <v>292</v>
      </c>
      <c r="I6" s="28" t="s">
        <v>293</v>
      </c>
      <c r="J6" s="28" t="s">
        <v>294</v>
      </c>
      <c r="K6" s="28" t="s">
        <v>311</v>
      </c>
      <c r="L6" s="28" t="s">
        <v>312</v>
      </c>
      <c r="M6" s="28" t="s">
        <v>313</v>
      </c>
      <c r="N6" s="28" t="s">
        <v>314</v>
      </c>
      <c r="O6" s="28" t="s">
        <v>315</v>
      </c>
      <c r="P6" s="28" t="s">
        <v>187</v>
      </c>
    </row>
    <row r="7" spans="1:16" ht="35" x14ac:dyDescent="0.45">
      <c r="A7" s="28" t="s">
        <v>316</v>
      </c>
      <c r="B7" s="28" t="s">
        <v>195</v>
      </c>
      <c r="C7" s="28" t="s">
        <v>196</v>
      </c>
      <c r="D7" s="28" t="s">
        <v>288</v>
      </c>
      <c r="E7" s="29" t="s">
        <v>289</v>
      </c>
      <c r="F7" s="28" t="s">
        <v>317</v>
      </c>
      <c r="G7" s="28" t="s">
        <v>291</v>
      </c>
      <c r="H7" s="28" t="s">
        <v>318</v>
      </c>
      <c r="I7" s="28" t="s">
        <v>319</v>
      </c>
      <c r="J7" s="28" t="s">
        <v>320</v>
      </c>
      <c r="K7" s="28" t="s">
        <v>321</v>
      </c>
      <c r="L7" s="28" t="s">
        <v>322</v>
      </c>
      <c r="M7" s="28" t="s">
        <v>323</v>
      </c>
      <c r="N7" s="28" t="s">
        <v>314</v>
      </c>
      <c r="O7" s="28" t="s">
        <v>324</v>
      </c>
      <c r="P7" s="28" t="s">
        <v>187</v>
      </c>
    </row>
    <row r="8" spans="1:16" ht="52.5" x14ac:dyDescent="0.45">
      <c r="A8" s="28" t="s">
        <v>325</v>
      </c>
      <c r="B8" s="28" t="s">
        <v>195</v>
      </c>
      <c r="C8" s="28" t="s">
        <v>196</v>
      </c>
      <c r="D8" s="28" t="s">
        <v>288</v>
      </c>
      <c r="E8" s="30" t="s">
        <v>326</v>
      </c>
      <c r="F8" s="28" t="s">
        <v>327</v>
      </c>
      <c r="G8" s="28" t="s">
        <v>291</v>
      </c>
      <c r="H8" s="28" t="s">
        <v>318</v>
      </c>
      <c r="I8" s="28" t="s">
        <v>319</v>
      </c>
      <c r="J8" s="28" t="s">
        <v>320</v>
      </c>
      <c r="K8" s="28" t="s">
        <v>328</v>
      </c>
      <c r="L8" s="28" t="s">
        <v>187</v>
      </c>
      <c r="M8" s="28" t="s">
        <v>329</v>
      </c>
      <c r="N8" s="28" t="s">
        <v>330</v>
      </c>
      <c r="O8" s="28" t="s">
        <v>331</v>
      </c>
      <c r="P8" s="28" t="s">
        <v>187</v>
      </c>
    </row>
    <row r="9" spans="1:16" ht="35" x14ac:dyDescent="0.45">
      <c r="A9" s="28" t="s">
        <v>332</v>
      </c>
      <c r="B9" s="28" t="s">
        <v>195</v>
      </c>
      <c r="C9" s="28" t="s">
        <v>196</v>
      </c>
      <c r="D9" s="28" t="s">
        <v>288</v>
      </c>
      <c r="E9" s="30" t="s">
        <v>326</v>
      </c>
      <c r="F9" s="28" t="s">
        <v>333</v>
      </c>
      <c r="G9" s="28" t="s">
        <v>291</v>
      </c>
      <c r="H9" s="28" t="s">
        <v>318</v>
      </c>
      <c r="I9" s="28" t="s">
        <v>319</v>
      </c>
      <c r="J9" s="28" t="s">
        <v>320</v>
      </c>
      <c r="K9" s="28" t="s">
        <v>334</v>
      </c>
      <c r="L9" s="28" t="s">
        <v>335</v>
      </c>
      <c r="M9" s="28" t="s">
        <v>336</v>
      </c>
      <c r="N9" s="28" t="s">
        <v>337</v>
      </c>
      <c r="O9" s="28" t="s">
        <v>338</v>
      </c>
      <c r="P9" s="28" t="s">
        <v>187</v>
      </c>
    </row>
    <row r="10" spans="1:16" ht="36" x14ac:dyDescent="0.45">
      <c r="A10" s="28" t="s">
        <v>339</v>
      </c>
      <c r="B10" s="28" t="s">
        <v>195</v>
      </c>
      <c r="C10" s="28" t="s">
        <v>196</v>
      </c>
      <c r="D10" s="28" t="s">
        <v>288</v>
      </c>
      <c r="E10" s="31" t="s">
        <v>340</v>
      </c>
      <c r="F10" s="28" t="s">
        <v>341</v>
      </c>
      <c r="G10" s="28" t="s">
        <v>187</v>
      </c>
      <c r="H10" s="28" t="s">
        <v>318</v>
      </c>
      <c r="I10" s="28" t="s">
        <v>319</v>
      </c>
      <c r="J10" s="28" t="s">
        <v>320</v>
      </c>
      <c r="K10" s="28" t="s">
        <v>342</v>
      </c>
      <c r="L10" s="28" t="s">
        <v>343</v>
      </c>
      <c r="M10" s="28" t="s">
        <v>344</v>
      </c>
      <c r="N10" s="28" t="s">
        <v>345</v>
      </c>
      <c r="O10" s="28" t="s">
        <v>346</v>
      </c>
      <c r="P10" s="28" t="s">
        <v>187</v>
      </c>
    </row>
    <row r="11" spans="1:16" ht="52.5" x14ac:dyDescent="0.45">
      <c r="A11" s="28" t="s">
        <v>347</v>
      </c>
      <c r="B11" s="28" t="s">
        <v>195</v>
      </c>
      <c r="C11" s="28" t="s">
        <v>196</v>
      </c>
      <c r="D11" s="28" t="s">
        <v>288</v>
      </c>
      <c r="E11" s="29" t="s">
        <v>289</v>
      </c>
      <c r="F11" s="28" t="s">
        <v>348</v>
      </c>
      <c r="G11" s="28" t="s">
        <v>291</v>
      </c>
      <c r="H11" s="28" t="s">
        <v>292</v>
      </c>
      <c r="I11" s="28" t="s">
        <v>293</v>
      </c>
      <c r="J11" s="28" t="s">
        <v>349</v>
      </c>
      <c r="K11" s="28" t="s">
        <v>350</v>
      </c>
      <c r="L11" s="28" t="s">
        <v>351</v>
      </c>
      <c r="M11" s="28" t="s">
        <v>352</v>
      </c>
      <c r="N11" s="28" t="s">
        <v>353</v>
      </c>
      <c r="O11" s="28" t="s">
        <v>354</v>
      </c>
      <c r="P11" s="28" t="s">
        <v>187</v>
      </c>
    </row>
    <row r="12" spans="1:16" ht="35" x14ac:dyDescent="0.45">
      <c r="A12" s="28" t="s">
        <v>355</v>
      </c>
      <c r="B12" s="28" t="s">
        <v>195</v>
      </c>
      <c r="C12" s="28" t="s">
        <v>196</v>
      </c>
      <c r="D12" s="28" t="s">
        <v>288</v>
      </c>
      <c r="E12" s="29" t="s">
        <v>289</v>
      </c>
      <c r="F12" s="28" t="s">
        <v>356</v>
      </c>
      <c r="G12" s="28" t="s">
        <v>291</v>
      </c>
      <c r="H12" s="28" t="s">
        <v>318</v>
      </c>
      <c r="I12" s="28" t="s">
        <v>319</v>
      </c>
      <c r="J12" s="28" t="s">
        <v>320</v>
      </c>
      <c r="K12" s="28" t="s">
        <v>357</v>
      </c>
      <c r="L12" s="28" t="s">
        <v>358</v>
      </c>
      <c r="M12" s="28" t="s">
        <v>359</v>
      </c>
      <c r="N12" s="28" t="s">
        <v>360</v>
      </c>
      <c r="O12" s="28" t="s">
        <v>354</v>
      </c>
      <c r="P12" s="28" t="s">
        <v>187</v>
      </c>
    </row>
    <row r="13" spans="1:16" ht="52.5" x14ac:dyDescent="0.45">
      <c r="A13" s="28" t="s">
        <v>361</v>
      </c>
      <c r="B13" s="28" t="s">
        <v>195</v>
      </c>
      <c r="C13" s="28" t="s">
        <v>196</v>
      </c>
      <c r="D13" s="28" t="s">
        <v>288</v>
      </c>
      <c r="E13" s="29" t="s">
        <v>289</v>
      </c>
      <c r="F13" s="28" t="s">
        <v>362</v>
      </c>
      <c r="G13" s="28" t="s">
        <v>291</v>
      </c>
      <c r="H13" s="28" t="s">
        <v>292</v>
      </c>
      <c r="I13" s="28" t="s">
        <v>293</v>
      </c>
      <c r="J13" s="28" t="s">
        <v>349</v>
      </c>
      <c r="K13" s="28" t="s">
        <v>363</v>
      </c>
      <c r="L13" s="28" t="s">
        <v>364</v>
      </c>
      <c r="M13" s="28" t="s">
        <v>365</v>
      </c>
      <c r="N13" s="28" t="s">
        <v>360</v>
      </c>
      <c r="O13" s="28" t="s">
        <v>354</v>
      </c>
      <c r="P13" s="28" t="s">
        <v>187</v>
      </c>
    </row>
    <row r="14" spans="1:16" ht="52.5" x14ac:dyDescent="0.45">
      <c r="A14" s="28" t="s">
        <v>366</v>
      </c>
      <c r="B14" s="28" t="s">
        <v>195</v>
      </c>
      <c r="C14" s="28" t="s">
        <v>196</v>
      </c>
      <c r="D14" s="28" t="s">
        <v>288</v>
      </c>
      <c r="E14" s="29" t="s">
        <v>289</v>
      </c>
      <c r="F14" s="28" t="s">
        <v>367</v>
      </c>
      <c r="G14" s="28" t="s">
        <v>291</v>
      </c>
      <c r="H14" s="28" t="s">
        <v>292</v>
      </c>
      <c r="I14" s="28" t="s">
        <v>293</v>
      </c>
      <c r="J14" s="28" t="s">
        <v>349</v>
      </c>
      <c r="K14" s="28" t="s">
        <v>368</v>
      </c>
      <c r="L14" s="28" t="s">
        <v>369</v>
      </c>
      <c r="M14" s="28" t="s">
        <v>370</v>
      </c>
      <c r="N14" s="28" t="s">
        <v>371</v>
      </c>
      <c r="O14" s="28" t="s">
        <v>354</v>
      </c>
      <c r="P14" s="28" t="s">
        <v>187</v>
      </c>
    </row>
    <row r="15" spans="1:16" ht="52.5" x14ac:dyDescent="0.45">
      <c r="A15" s="28" t="s">
        <v>372</v>
      </c>
      <c r="B15" s="28" t="s">
        <v>195</v>
      </c>
      <c r="C15" s="28" t="s">
        <v>196</v>
      </c>
      <c r="D15" s="28" t="s">
        <v>288</v>
      </c>
      <c r="E15" s="29" t="s">
        <v>289</v>
      </c>
      <c r="F15" s="28" t="s">
        <v>373</v>
      </c>
      <c r="G15" s="28" t="s">
        <v>291</v>
      </c>
      <c r="H15" s="28" t="s">
        <v>292</v>
      </c>
      <c r="I15" s="28" t="s">
        <v>293</v>
      </c>
      <c r="J15" s="28" t="s">
        <v>349</v>
      </c>
      <c r="K15" s="28" t="s">
        <v>374</v>
      </c>
      <c r="L15" s="28" t="s">
        <v>375</v>
      </c>
      <c r="M15" s="28" t="s">
        <v>376</v>
      </c>
      <c r="N15" s="28" t="s">
        <v>377</v>
      </c>
      <c r="O15" s="28" t="s">
        <v>354</v>
      </c>
      <c r="P15" s="28" t="s">
        <v>187</v>
      </c>
    </row>
    <row r="16" spans="1:16" ht="35" x14ac:dyDescent="0.45">
      <c r="A16" s="28" t="s">
        <v>378</v>
      </c>
      <c r="B16" s="28" t="s">
        <v>195</v>
      </c>
      <c r="C16" s="28" t="s">
        <v>196</v>
      </c>
      <c r="D16" s="28" t="s">
        <v>379</v>
      </c>
      <c r="E16" s="30" t="s">
        <v>326</v>
      </c>
      <c r="F16" s="28" t="s">
        <v>380</v>
      </c>
      <c r="G16" s="28" t="s">
        <v>187</v>
      </c>
      <c r="H16" s="28" t="s">
        <v>318</v>
      </c>
      <c r="I16" s="28" t="s">
        <v>319</v>
      </c>
      <c r="J16" s="28" t="s">
        <v>320</v>
      </c>
      <c r="K16" s="28" t="s">
        <v>381</v>
      </c>
      <c r="L16" s="28" t="s">
        <v>187</v>
      </c>
      <c r="M16" s="28" t="s">
        <v>382</v>
      </c>
      <c r="N16" s="28" t="s">
        <v>383</v>
      </c>
      <c r="O16" s="28" t="s">
        <v>354</v>
      </c>
      <c r="P16" s="28" t="s">
        <v>187</v>
      </c>
    </row>
    <row r="17" spans="1:16" ht="35" x14ac:dyDescent="0.45">
      <c r="A17" s="28" t="s">
        <v>384</v>
      </c>
      <c r="B17" s="28" t="s">
        <v>195</v>
      </c>
      <c r="C17" s="28" t="s">
        <v>196</v>
      </c>
      <c r="D17" s="28" t="s">
        <v>379</v>
      </c>
      <c r="E17" s="32" t="s">
        <v>385</v>
      </c>
      <c r="F17" s="28" t="s">
        <v>380</v>
      </c>
      <c r="G17" s="28" t="s">
        <v>291</v>
      </c>
      <c r="H17" s="28" t="s">
        <v>318</v>
      </c>
      <c r="I17" s="28" t="s">
        <v>386</v>
      </c>
      <c r="J17" s="28" t="s">
        <v>320</v>
      </c>
      <c r="K17" s="28" t="s">
        <v>387</v>
      </c>
      <c r="L17" s="28" t="s">
        <v>388</v>
      </c>
      <c r="M17" s="28" t="s">
        <v>389</v>
      </c>
      <c r="N17" s="28" t="s">
        <v>390</v>
      </c>
      <c r="O17" s="28" t="s">
        <v>354</v>
      </c>
      <c r="P17" s="28" t="s">
        <v>187</v>
      </c>
    </row>
    <row r="18" spans="1:16" ht="36" x14ac:dyDescent="0.45">
      <c r="A18" s="28" t="s">
        <v>391</v>
      </c>
      <c r="B18" s="28" t="s">
        <v>195</v>
      </c>
      <c r="C18" s="28" t="s">
        <v>196</v>
      </c>
      <c r="D18" s="28" t="s">
        <v>379</v>
      </c>
      <c r="E18" s="31" t="s">
        <v>340</v>
      </c>
      <c r="F18" s="28" t="s">
        <v>380</v>
      </c>
      <c r="G18" s="28" t="s">
        <v>187</v>
      </c>
      <c r="H18" s="28" t="s">
        <v>318</v>
      </c>
      <c r="I18" s="28" t="s">
        <v>386</v>
      </c>
      <c r="J18" s="28" t="s">
        <v>320</v>
      </c>
      <c r="K18" s="28" t="s">
        <v>392</v>
      </c>
      <c r="L18" s="28" t="s">
        <v>187</v>
      </c>
      <c r="M18" s="28" t="s">
        <v>393</v>
      </c>
      <c r="N18" s="28" t="s">
        <v>394</v>
      </c>
      <c r="O18" s="28" t="s">
        <v>354</v>
      </c>
      <c r="P18" s="28" t="s">
        <v>187</v>
      </c>
    </row>
    <row r="19" spans="1:16" ht="35" x14ac:dyDescent="0.45">
      <c r="A19" s="28" t="s">
        <v>395</v>
      </c>
      <c r="B19" s="28" t="s">
        <v>195</v>
      </c>
      <c r="C19" s="28" t="s">
        <v>196</v>
      </c>
      <c r="D19" s="28" t="s">
        <v>379</v>
      </c>
      <c r="E19" s="30" t="s">
        <v>326</v>
      </c>
      <c r="F19" s="28" t="s">
        <v>396</v>
      </c>
      <c r="G19" s="28" t="s">
        <v>187</v>
      </c>
      <c r="H19" s="28" t="s">
        <v>318</v>
      </c>
      <c r="I19" s="28" t="s">
        <v>397</v>
      </c>
      <c r="J19" s="28" t="s">
        <v>320</v>
      </c>
      <c r="K19" s="28" t="s">
        <v>398</v>
      </c>
      <c r="L19" s="28" t="s">
        <v>399</v>
      </c>
      <c r="M19" s="28" t="s">
        <v>400</v>
      </c>
      <c r="N19" s="28" t="s">
        <v>330</v>
      </c>
      <c r="O19" s="28" t="s">
        <v>401</v>
      </c>
      <c r="P19" s="28" t="s">
        <v>402</v>
      </c>
    </row>
    <row r="20" spans="1:16" ht="122.5" x14ac:dyDescent="0.45">
      <c r="A20" s="28" t="s">
        <v>403</v>
      </c>
      <c r="B20" s="28" t="s">
        <v>195</v>
      </c>
      <c r="C20" s="28" t="s">
        <v>196</v>
      </c>
      <c r="D20" s="28" t="s">
        <v>379</v>
      </c>
      <c r="E20" s="30" t="s">
        <v>326</v>
      </c>
      <c r="F20" s="28" t="s">
        <v>404</v>
      </c>
      <c r="G20" s="28" t="s">
        <v>187</v>
      </c>
      <c r="H20" s="28" t="s">
        <v>318</v>
      </c>
      <c r="I20" s="28" t="s">
        <v>405</v>
      </c>
      <c r="J20" s="28" t="s">
        <v>320</v>
      </c>
      <c r="K20" s="28" t="s">
        <v>406</v>
      </c>
      <c r="L20" s="28" t="s">
        <v>187</v>
      </c>
      <c r="M20" s="28" t="s">
        <v>407</v>
      </c>
      <c r="N20" s="28" t="s">
        <v>408</v>
      </c>
      <c r="O20" s="28" t="s">
        <v>409</v>
      </c>
      <c r="P20" s="28" t="s">
        <v>410</v>
      </c>
    </row>
    <row r="21" spans="1:16" ht="35" x14ac:dyDescent="0.45">
      <c r="A21" s="28" t="s">
        <v>411</v>
      </c>
      <c r="B21" s="28" t="s">
        <v>195</v>
      </c>
      <c r="C21" s="28" t="s">
        <v>196</v>
      </c>
      <c r="D21" s="28" t="s">
        <v>379</v>
      </c>
      <c r="E21" s="32" t="s">
        <v>385</v>
      </c>
      <c r="F21" s="28" t="s">
        <v>412</v>
      </c>
      <c r="G21" s="28" t="s">
        <v>291</v>
      </c>
      <c r="H21" s="28" t="s">
        <v>318</v>
      </c>
      <c r="I21" s="28" t="s">
        <v>397</v>
      </c>
      <c r="J21" s="28" t="s">
        <v>320</v>
      </c>
      <c r="K21" s="28" t="s">
        <v>413</v>
      </c>
      <c r="L21" s="28" t="s">
        <v>414</v>
      </c>
      <c r="M21" s="28" t="s">
        <v>415</v>
      </c>
      <c r="N21" s="28" t="s">
        <v>416</v>
      </c>
      <c r="O21" s="28" t="s">
        <v>417</v>
      </c>
      <c r="P21" s="28" t="s">
        <v>418</v>
      </c>
    </row>
    <row r="22" spans="1:16" ht="52.5" x14ac:dyDescent="0.45">
      <c r="A22" s="28" t="s">
        <v>419</v>
      </c>
      <c r="B22" s="28" t="s">
        <v>220</v>
      </c>
      <c r="C22" s="28" t="s">
        <v>221</v>
      </c>
      <c r="D22" s="28" t="s">
        <v>420</v>
      </c>
      <c r="E22" s="29" t="s">
        <v>289</v>
      </c>
      <c r="F22" s="28" t="s">
        <v>421</v>
      </c>
      <c r="G22" s="28" t="s">
        <v>422</v>
      </c>
      <c r="H22" s="28" t="s">
        <v>318</v>
      </c>
      <c r="I22" s="28" t="s">
        <v>386</v>
      </c>
      <c r="J22" s="28" t="s">
        <v>320</v>
      </c>
      <c r="K22" s="28" t="s">
        <v>423</v>
      </c>
      <c r="L22" s="28" t="s">
        <v>424</v>
      </c>
      <c r="M22" s="28" t="s">
        <v>425</v>
      </c>
      <c r="N22" s="28" t="s">
        <v>426</v>
      </c>
      <c r="O22" s="28" t="s">
        <v>427</v>
      </c>
      <c r="P22" s="28" t="s">
        <v>428</v>
      </c>
    </row>
    <row r="23" spans="1:16" ht="35" x14ac:dyDescent="0.45">
      <c r="A23" s="28" t="s">
        <v>429</v>
      </c>
      <c r="B23" s="28" t="s">
        <v>220</v>
      </c>
      <c r="C23" s="28" t="s">
        <v>221</v>
      </c>
      <c r="D23" s="28" t="s">
        <v>420</v>
      </c>
      <c r="E23" s="30" t="s">
        <v>326</v>
      </c>
      <c r="F23" s="28" t="s">
        <v>421</v>
      </c>
      <c r="G23" s="28" t="s">
        <v>187</v>
      </c>
      <c r="H23" s="28" t="s">
        <v>318</v>
      </c>
      <c r="I23" s="28" t="s">
        <v>386</v>
      </c>
      <c r="J23" s="28" t="s">
        <v>320</v>
      </c>
      <c r="K23" s="28" t="s">
        <v>430</v>
      </c>
      <c r="L23" s="28" t="s">
        <v>431</v>
      </c>
      <c r="M23" s="28" t="s">
        <v>432</v>
      </c>
      <c r="N23" s="28" t="s">
        <v>408</v>
      </c>
      <c r="O23" s="28" t="s">
        <v>433</v>
      </c>
      <c r="P23" s="28" t="s">
        <v>434</v>
      </c>
    </row>
    <row r="24" spans="1:16" ht="35" x14ac:dyDescent="0.45">
      <c r="A24" s="28" t="s">
        <v>435</v>
      </c>
      <c r="B24" s="28" t="s">
        <v>220</v>
      </c>
      <c r="C24" s="28" t="s">
        <v>221</v>
      </c>
      <c r="D24" s="28" t="s">
        <v>420</v>
      </c>
      <c r="E24" s="30" t="s">
        <v>326</v>
      </c>
      <c r="F24" s="28" t="s">
        <v>436</v>
      </c>
      <c r="G24" s="28" t="s">
        <v>187</v>
      </c>
      <c r="H24" s="28" t="s">
        <v>318</v>
      </c>
      <c r="I24" s="28" t="s">
        <v>386</v>
      </c>
      <c r="J24" s="28" t="s">
        <v>320</v>
      </c>
      <c r="K24" s="28" t="s">
        <v>437</v>
      </c>
      <c r="L24" s="28" t="s">
        <v>438</v>
      </c>
      <c r="M24" s="28" t="s">
        <v>439</v>
      </c>
      <c r="N24" s="28" t="s">
        <v>440</v>
      </c>
      <c r="O24" s="28" t="s">
        <v>441</v>
      </c>
      <c r="P24" s="28" t="s">
        <v>434</v>
      </c>
    </row>
    <row r="25" spans="1:16" ht="52.5" x14ac:dyDescent="0.45">
      <c r="A25" s="28" t="s">
        <v>442</v>
      </c>
      <c r="B25" s="28" t="s">
        <v>220</v>
      </c>
      <c r="C25" s="28" t="s">
        <v>221</v>
      </c>
      <c r="D25" s="28" t="s">
        <v>420</v>
      </c>
      <c r="E25" s="30" t="s">
        <v>326</v>
      </c>
      <c r="F25" s="28" t="s">
        <v>443</v>
      </c>
      <c r="G25" s="28" t="s">
        <v>187</v>
      </c>
      <c r="H25" s="28" t="s">
        <v>318</v>
      </c>
      <c r="I25" s="28" t="s">
        <v>444</v>
      </c>
      <c r="J25" s="28" t="s">
        <v>320</v>
      </c>
      <c r="K25" s="28" t="s">
        <v>445</v>
      </c>
      <c r="L25" s="28" t="s">
        <v>446</v>
      </c>
      <c r="M25" s="28" t="s">
        <v>447</v>
      </c>
      <c r="N25" s="28" t="s">
        <v>408</v>
      </c>
      <c r="O25" s="28" t="s">
        <v>448</v>
      </c>
      <c r="P25" s="28" t="s">
        <v>449</v>
      </c>
    </row>
    <row r="26" spans="1:16" ht="35" x14ac:dyDescent="0.45">
      <c r="A26" s="28" t="s">
        <v>450</v>
      </c>
      <c r="B26" s="28" t="s">
        <v>220</v>
      </c>
      <c r="C26" s="28" t="s">
        <v>221</v>
      </c>
      <c r="D26" s="28" t="s">
        <v>420</v>
      </c>
      <c r="E26" s="30" t="s">
        <v>326</v>
      </c>
      <c r="F26" s="28" t="s">
        <v>451</v>
      </c>
      <c r="G26" s="28" t="s">
        <v>187</v>
      </c>
      <c r="H26" s="28" t="s">
        <v>318</v>
      </c>
      <c r="I26" s="28" t="s">
        <v>444</v>
      </c>
      <c r="J26" s="28" t="s">
        <v>320</v>
      </c>
      <c r="K26" s="28" t="s">
        <v>452</v>
      </c>
      <c r="L26" s="28" t="s">
        <v>453</v>
      </c>
      <c r="M26" s="28" t="s">
        <v>454</v>
      </c>
      <c r="N26" s="28" t="s">
        <v>440</v>
      </c>
      <c r="O26" s="28" t="s">
        <v>455</v>
      </c>
      <c r="P26" s="28" t="s">
        <v>456</v>
      </c>
    </row>
    <row r="27" spans="1:16" ht="35" x14ac:dyDescent="0.45">
      <c r="A27" s="28" t="s">
        <v>457</v>
      </c>
      <c r="B27" s="28" t="s">
        <v>220</v>
      </c>
      <c r="C27" s="28" t="s">
        <v>221</v>
      </c>
      <c r="D27" s="28" t="s">
        <v>458</v>
      </c>
      <c r="E27" s="30" t="s">
        <v>326</v>
      </c>
      <c r="F27" s="28" t="s">
        <v>459</v>
      </c>
      <c r="G27" s="28" t="s">
        <v>187</v>
      </c>
      <c r="H27" s="28" t="s">
        <v>318</v>
      </c>
      <c r="I27" s="28" t="s">
        <v>397</v>
      </c>
      <c r="J27" s="28" t="s">
        <v>320</v>
      </c>
      <c r="K27" s="28" t="s">
        <v>460</v>
      </c>
      <c r="L27" s="28" t="s">
        <v>461</v>
      </c>
      <c r="M27" s="28" t="s">
        <v>462</v>
      </c>
      <c r="N27" s="28" t="s">
        <v>408</v>
      </c>
      <c r="O27" s="28" t="s">
        <v>463</v>
      </c>
      <c r="P27" s="28" t="s">
        <v>464</v>
      </c>
    </row>
    <row r="28" spans="1:16" ht="35" x14ac:dyDescent="0.45">
      <c r="A28" s="28" t="s">
        <v>465</v>
      </c>
      <c r="B28" s="28" t="s">
        <v>220</v>
      </c>
      <c r="C28" s="28" t="s">
        <v>221</v>
      </c>
      <c r="D28" s="28" t="s">
        <v>458</v>
      </c>
      <c r="E28" s="30" t="s">
        <v>326</v>
      </c>
      <c r="F28" s="28" t="s">
        <v>466</v>
      </c>
      <c r="G28" s="28" t="s">
        <v>187</v>
      </c>
      <c r="H28" s="28" t="s">
        <v>318</v>
      </c>
      <c r="I28" s="28" t="s">
        <v>397</v>
      </c>
      <c r="J28" s="28" t="s">
        <v>320</v>
      </c>
      <c r="K28" s="28" t="s">
        <v>467</v>
      </c>
      <c r="L28" s="28" t="s">
        <v>187</v>
      </c>
      <c r="M28" s="28" t="s">
        <v>468</v>
      </c>
      <c r="N28" s="28" t="s">
        <v>408</v>
      </c>
      <c r="O28" s="28" t="s">
        <v>469</v>
      </c>
      <c r="P28" s="28" t="s">
        <v>470</v>
      </c>
    </row>
    <row r="29" spans="1:16" ht="35" x14ac:dyDescent="0.45">
      <c r="A29" s="28" t="s">
        <v>471</v>
      </c>
      <c r="B29" s="28" t="s">
        <v>220</v>
      </c>
      <c r="C29" s="28" t="s">
        <v>221</v>
      </c>
      <c r="D29" s="28" t="s">
        <v>458</v>
      </c>
      <c r="E29" s="30" t="s">
        <v>326</v>
      </c>
      <c r="F29" s="28" t="s">
        <v>472</v>
      </c>
      <c r="G29" s="28" t="s">
        <v>187</v>
      </c>
      <c r="H29" s="28" t="s">
        <v>318</v>
      </c>
      <c r="I29" s="28" t="s">
        <v>444</v>
      </c>
      <c r="J29" s="28" t="s">
        <v>320</v>
      </c>
      <c r="K29" s="28" t="s">
        <v>473</v>
      </c>
      <c r="L29" s="28" t="s">
        <v>474</v>
      </c>
      <c r="M29" s="28" t="s">
        <v>475</v>
      </c>
      <c r="N29" s="28" t="s">
        <v>408</v>
      </c>
      <c r="O29" s="28" t="s">
        <v>354</v>
      </c>
      <c r="P29" s="28" t="s">
        <v>187</v>
      </c>
    </row>
    <row r="30" spans="1:16" ht="35" x14ac:dyDescent="0.45">
      <c r="A30" s="28" t="s">
        <v>476</v>
      </c>
      <c r="B30" s="28" t="s">
        <v>220</v>
      </c>
      <c r="C30" s="28" t="s">
        <v>221</v>
      </c>
      <c r="D30" s="28" t="s">
        <v>458</v>
      </c>
      <c r="E30" s="30" t="s">
        <v>326</v>
      </c>
      <c r="F30" s="28" t="s">
        <v>477</v>
      </c>
      <c r="G30" s="28" t="s">
        <v>187</v>
      </c>
      <c r="H30" s="28" t="s">
        <v>318</v>
      </c>
      <c r="I30" s="28" t="s">
        <v>444</v>
      </c>
      <c r="J30" s="28" t="s">
        <v>320</v>
      </c>
      <c r="K30" s="28" t="s">
        <v>478</v>
      </c>
      <c r="L30" s="28" t="s">
        <v>187</v>
      </c>
      <c r="M30" s="28" t="s">
        <v>479</v>
      </c>
      <c r="N30" s="28" t="s">
        <v>408</v>
      </c>
      <c r="O30" s="28" t="s">
        <v>354</v>
      </c>
      <c r="P30" s="28" t="s">
        <v>187</v>
      </c>
    </row>
    <row r="31" spans="1:16" ht="35" x14ac:dyDescent="0.45">
      <c r="A31" s="28" t="s">
        <v>480</v>
      </c>
      <c r="B31" s="28" t="s">
        <v>220</v>
      </c>
      <c r="C31" s="28" t="s">
        <v>221</v>
      </c>
      <c r="D31" s="28" t="s">
        <v>458</v>
      </c>
      <c r="E31" s="30" t="s">
        <v>326</v>
      </c>
      <c r="F31" s="28" t="s">
        <v>481</v>
      </c>
      <c r="G31" s="28" t="s">
        <v>187</v>
      </c>
      <c r="H31" s="28" t="s">
        <v>318</v>
      </c>
      <c r="I31" s="28" t="s">
        <v>444</v>
      </c>
      <c r="J31" s="28" t="s">
        <v>320</v>
      </c>
      <c r="K31" s="28" t="s">
        <v>482</v>
      </c>
      <c r="L31" s="28" t="s">
        <v>483</v>
      </c>
      <c r="M31" s="28" t="s">
        <v>484</v>
      </c>
      <c r="N31" s="28" t="s">
        <v>408</v>
      </c>
      <c r="O31" s="28" t="s">
        <v>485</v>
      </c>
      <c r="P31" s="28" t="s">
        <v>486</v>
      </c>
    </row>
    <row r="32" spans="1:16" ht="35" x14ac:dyDescent="0.45">
      <c r="A32" s="28" t="s">
        <v>487</v>
      </c>
      <c r="B32" s="28" t="s">
        <v>220</v>
      </c>
      <c r="C32" s="28" t="s">
        <v>221</v>
      </c>
      <c r="D32" s="28" t="s">
        <v>458</v>
      </c>
      <c r="E32" s="30" t="s">
        <v>326</v>
      </c>
      <c r="F32" s="28" t="s">
        <v>488</v>
      </c>
      <c r="G32" s="28" t="s">
        <v>187</v>
      </c>
      <c r="H32" s="28" t="s">
        <v>318</v>
      </c>
      <c r="I32" s="28" t="s">
        <v>444</v>
      </c>
      <c r="J32" s="28" t="s">
        <v>320</v>
      </c>
      <c r="K32" s="28" t="s">
        <v>489</v>
      </c>
      <c r="L32" s="28" t="s">
        <v>490</v>
      </c>
      <c r="M32" s="28" t="s">
        <v>491</v>
      </c>
      <c r="N32" s="28" t="s">
        <v>492</v>
      </c>
      <c r="O32" s="28" t="s">
        <v>493</v>
      </c>
      <c r="P32" s="28" t="s">
        <v>494</v>
      </c>
    </row>
    <row r="33" spans="1:16" ht="35" x14ac:dyDescent="0.45">
      <c r="A33" s="28" t="s">
        <v>495</v>
      </c>
      <c r="B33" s="28" t="s">
        <v>220</v>
      </c>
      <c r="C33" s="28" t="s">
        <v>221</v>
      </c>
      <c r="D33" s="28" t="s">
        <v>458</v>
      </c>
      <c r="E33" s="30" t="s">
        <v>326</v>
      </c>
      <c r="F33" s="28" t="s">
        <v>496</v>
      </c>
      <c r="G33" s="28" t="s">
        <v>187</v>
      </c>
      <c r="H33" s="28" t="s">
        <v>318</v>
      </c>
      <c r="I33" s="28" t="s">
        <v>444</v>
      </c>
      <c r="J33" s="28" t="s">
        <v>320</v>
      </c>
      <c r="K33" s="28" t="s">
        <v>467</v>
      </c>
      <c r="L33" s="28" t="s">
        <v>187</v>
      </c>
      <c r="M33" s="28" t="s">
        <v>497</v>
      </c>
      <c r="N33" s="28" t="s">
        <v>408</v>
      </c>
      <c r="O33" s="28" t="s">
        <v>498</v>
      </c>
      <c r="P33" s="28" t="s">
        <v>456</v>
      </c>
    </row>
    <row r="34" spans="1:16" ht="35" x14ac:dyDescent="0.45">
      <c r="A34" s="28" t="s">
        <v>499</v>
      </c>
      <c r="B34" s="28" t="s">
        <v>220</v>
      </c>
      <c r="C34" s="28" t="s">
        <v>221</v>
      </c>
      <c r="D34" s="28" t="s">
        <v>458</v>
      </c>
      <c r="E34" s="30" t="s">
        <v>326</v>
      </c>
      <c r="F34" s="28" t="s">
        <v>500</v>
      </c>
      <c r="G34" s="28" t="s">
        <v>187</v>
      </c>
      <c r="H34" s="28" t="s">
        <v>318</v>
      </c>
      <c r="I34" s="28" t="s">
        <v>386</v>
      </c>
      <c r="J34" s="28" t="s">
        <v>320</v>
      </c>
      <c r="K34" s="28" t="s">
        <v>501</v>
      </c>
      <c r="L34" s="28" t="s">
        <v>502</v>
      </c>
      <c r="M34" s="28" t="s">
        <v>503</v>
      </c>
      <c r="N34" s="28" t="s">
        <v>408</v>
      </c>
      <c r="O34" s="28" t="s">
        <v>504</v>
      </c>
      <c r="P34" s="28" t="s">
        <v>505</v>
      </c>
    </row>
    <row r="35" spans="1:16" ht="35" x14ac:dyDescent="0.45">
      <c r="A35" s="28" t="s">
        <v>506</v>
      </c>
      <c r="B35" s="28" t="s">
        <v>220</v>
      </c>
      <c r="C35" s="28" t="s">
        <v>221</v>
      </c>
      <c r="D35" s="28" t="s">
        <v>458</v>
      </c>
      <c r="E35" s="30" t="s">
        <v>326</v>
      </c>
      <c r="F35" s="28" t="s">
        <v>507</v>
      </c>
      <c r="G35" s="28" t="s">
        <v>187</v>
      </c>
      <c r="H35" s="28" t="s">
        <v>318</v>
      </c>
      <c r="I35" s="28" t="s">
        <v>386</v>
      </c>
      <c r="J35" s="28" t="s">
        <v>320</v>
      </c>
      <c r="K35" s="28" t="s">
        <v>508</v>
      </c>
      <c r="L35" s="28" t="s">
        <v>509</v>
      </c>
      <c r="M35" s="28" t="s">
        <v>510</v>
      </c>
      <c r="N35" s="28" t="s">
        <v>408</v>
      </c>
      <c r="O35" s="28" t="s">
        <v>511</v>
      </c>
      <c r="P35" s="28" t="s">
        <v>512</v>
      </c>
    </row>
    <row r="36" spans="1:16" ht="122.5" x14ac:dyDescent="0.45">
      <c r="A36" s="28" t="s">
        <v>513</v>
      </c>
      <c r="B36" s="28" t="s">
        <v>220</v>
      </c>
      <c r="C36" s="28" t="s">
        <v>221</v>
      </c>
      <c r="D36" s="28" t="s">
        <v>458</v>
      </c>
      <c r="E36" s="29" t="s">
        <v>289</v>
      </c>
      <c r="F36" s="28" t="s">
        <v>514</v>
      </c>
      <c r="G36" s="28" t="s">
        <v>187</v>
      </c>
      <c r="H36" s="28" t="s">
        <v>318</v>
      </c>
      <c r="I36" s="28" t="s">
        <v>386</v>
      </c>
      <c r="J36" s="28" t="s">
        <v>320</v>
      </c>
      <c r="K36" s="28" t="s">
        <v>515</v>
      </c>
      <c r="L36" s="28" t="s">
        <v>516</v>
      </c>
      <c r="M36" s="28" t="s">
        <v>517</v>
      </c>
      <c r="N36" s="28" t="s">
        <v>518</v>
      </c>
      <c r="O36" s="28" t="s">
        <v>519</v>
      </c>
      <c r="P36" s="28" t="s">
        <v>428</v>
      </c>
    </row>
    <row r="37" spans="1:16" ht="52.5" x14ac:dyDescent="0.45">
      <c r="A37" s="28" t="s">
        <v>520</v>
      </c>
      <c r="B37" s="28" t="s">
        <v>220</v>
      </c>
      <c r="C37" s="28" t="s">
        <v>221</v>
      </c>
      <c r="D37" s="28" t="s">
        <v>458</v>
      </c>
      <c r="E37" s="32" t="s">
        <v>385</v>
      </c>
      <c r="F37" s="28" t="s">
        <v>521</v>
      </c>
      <c r="G37" s="28" t="s">
        <v>187</v>
      </c>
      <c r="H37" s="28" t="s">
        <v>318</v>
      </c>
      <c r="I37" s="28" t="s">
        <v>386</v>
      </c>
      <c r="J37" s="28" t="s">
        <v>320</v>
      </c>
      <c r="K37" s="28" t="s">
        <v>522</v>
      </c>
      <c r="L37" s="28" t="s">
        <v>523</v>
      </c>
      <c r="M37" s="28" t="s">
        <v>524</v>
      </c>
      <c r="N37" s="28" t="s">
        <v>525</v>
      </c>
      <c r="O37" s="28" t="s">
        <v>526</v>
      </c>
      <c r="P37" s="28" t="s">
        <v>512</v>
      </c>
    </row>
    <row r="38" spans="1:16" ht="52.5" x14ac:dyDescent="0.45">
      <c r="A38" s="28" t="s">
        <v>527</v>
      </c>
      <c r="B38" s="28" t="s">
        <v>220</v>
      </c>
      <c r="C38" s="28" t="s">
        <v>221</v>
      </c>
      <c r="D38" s="28" t="s">
        <v>458</v>
      </c>
      <c r="E38" s="32" t="s">
        <v>385</v>
      </c>
      <c r="F38" s="28" t="s">
        <v>528</v>
      </c>
      <c r="G38" s="28" t="s">
        <v>187</v>
      </c>
      <c r="H38" s="28" t="s">
        <v>318</v>
      </c>
      <c r="I38" s="28" t="s">
        <v>444</v>
      </c>
      <c r="J38" s="28" t="s">
        <v>320</v>
      </c>
      <c r="K38" s="28" t="s">
        <v>529</v>
      </c>
      <c r="L38" s="28" t="s">
        <v>530</v>
      </c>
      <c r="M38" s="28" t="s">
        <v>531</v>
      </c>
      <c r="N38" s="28" t="s">
        <v>532</v>
      </c>
      <c r="O38" s="28" t="s">
        <v>533</v>
      </c>
      <c r="P38" s="28" t="s">
        <v>456</v>
      </c>
    </row>
    <row r="39" spans="1:16" ht="87.5" x14ac:dyDescent="0.45">
      <c r="A39" s="28" t="s">
        <v>534</v>
      </c>
      <c r="B39" s="28" t="s">
        <v>220</v>
      </c>
      <c r="C39" s="28" t="s">
        <v>221</v>
      </c>
      <c r="D39" s="28" t="s">
        <v>458</v>
      </c>
      <c r="E39" s="32" t="s">
        <v>385</v>
      </c>
      <c r="F39" s="28" t="s">
        <v>535</v>
      </c>
      <c r="G39" s="28" t="s">
        <v>187</v>
      </c>
      <c r="H39" s="28" t="s">
        <v>318</v>
      </c>
      <c r="I39" s="28" t="s">
        <v>444</v>
      </c>
      <c r="J39" s="28" t="s">
        <v>320</v>
      </c>
      <c r="K39" s="28" t="s">
        <v>536</v>
      </c>
      <c r="L39" s="28" t="s">
        <v>537</v>
      </c>
      <c r="M39" s="28" t="s">
        <v>538</v>
      </c>
      <c r="N39" s="28" t="s">
        <v>539</v>
      </c>
      <c r="O39" s="28" t="s">
        <v>540</v>
      </c>
      <c r="P39" s="28" t="s">
        <v>187</v>
      </c>
    </row>
    <row r="40" spans="1:16" ht="52.5" x14ac:dyDescent="0.45">
      <c r="A40" s="28" t="s">
        <v>541</v>
      </c>
      <c r="B40" s="28" t="s">
        <v>220</v>
      </c>
      <c r="C40" s="28" t="s">
        <v>221</v>
      </c>
      <c r="D40" s="28" t="s">
        <v>458</v>
      </c>
      <c r="E40" s="32" t="s">
        <v>385</v>
      </c>
      <c r="F40" s="28" t="s">
        <v>542</v>
      </c>
      <c r="G40" s="28" t="s">
        <v>187</v>
      </c>
      <c r="H40" s="28" t="s">
        <v>318</v>
      </c>
      <c r="I40" s="28" t="s">
        <v>444</v>
      </c>
      <c r="J40" s="28" t="s">
        <v>320</v>
      </c>
      <c r="K40" s="28" t="s">
        <v>543</v>
      </c>
      <c r="L40" s="28" t="s">
        <v>544</v>
      </c>
      <c r="M40" s="28" t="s">
        <v>545</v>
      </c>
      <c r="N40" s="28" t="s">
        <v>546</v>
      </c>
      <c r="O40" s="28" t="s">
        <v>547</v>
      </c>
      <c r="P40" s="28" t="s">
        <v>456</v>
      </c>
    </row>
    <row r="41" spans="1:16" ht="52.5" x14ac:dyDescent="0.45">
      <c r="A41" s="28" t="s">
        <v>548</v>
      </c>
      <c r="B41" s="28" t="s">
        <v>220</v>
      </c>
      <c r="C41" s="28" t="s">
        <v>221</v>
      </c>
      <c r="D41" s="28" t="s">
        <v>458</v>
      </c>
      <c r="E41" s="32" t="s">
        <v>385</v>
      </c>
      <c r="F41" s="28" t="s">
        <v>549</v>
      </c>
      <c r="G41" s="28" t="s">
        <v>187</v>
      </c>
      <c r="H41" s="28" t="s">
        <v>318</v>
      </c>
      <c r="I41" s="28" t="s">
        <v>444</v>
      </c>
      <c r="J41" s="28" t="s">
        <v>320</v>
      </c>
      <c r="K41" s="28" t="s">
        <v>550</v>
      </c>
      <c r="L41" s="28" t="s">
        <v>551</v>
      </c>
      <c r="M41" s="28" t="s">
        <v>552</v>
      </c>
      <c r="N41" s="28" t="s">
        <v>553</v>
      </c>
      <c r="O41" s="28" t="s">
        <v>554</v>
      </c>
      <c r="P41" s="28" t="s">
        <v>187</v>
      </c>
    </row>
    <row r="42" spans="1:16" ht="35" x14ac:dyDescent="0.45">
      <c r="A42" s="28" t="s">
        <v>555</v>
      </c>
      <c r="B42" s="28" t="s">
        <v>220</v>
      </c>
      <c r="C42" s="28" t="s">
        <v>221</v>
      </c>
      <c r="D42" s="28" t="s">
        <v>458</v>
      </c>
      <c r="E42" s="30" t="s">
        <v>326</v>
      </c>
      <c r="F42" s="28" t="s">
        <v>556</v>
      </c>
      <c r="G42" s="28" t="s">
        <v>187</v>
      </c>
      <c r="H42" s="28" t="s">
        <v>318</v>
      </c>
      <c r="I42" s="28" t="s">
        <v>386</v>
      </c>
      <c r="J42" s="28" t="s">
        <v>320</v>
      </c>
      <c r="K42" s="28" t="s">
        <v>557</v>
      </c>
      <c r="L42" s="28" t="s">
        <v>558</v>
      </c>
      <c r="M42" s="28" t="s">
        <v>559</v>
      </c>
      <c r="N42" s="28" t="s">
        <v>560</v>
      </c>
      <c r="O42" s="28" t="s">
        <v>561</v>
      </c>
      <c r="P42" s="28" t="s">
        <v>434</v>
      </c>
    </row>
    <row r="43" spans="1:16" ht="35" x14ac:dyDescent="0.45">
      <c r="A43" s="28" t="s">
        <v>562</v>
      </c>
      <c r="B43" s="28" t="s">
        <v>220</v>
      </c>
      <c r="C43" s="28" t="s">
        <v>221</v>
      </c>
      <c r="D43" s="28" t="s">
        <v>458</v>
      </c>
      <c r="E43" s="30" t="s">
        <v>326</v>
      </c>
      <c r="F43" s="28" t="s">
        <v>563</v>
      </c>
      <c r="G43" s="28" t="s">
        <v>187</v>
      </c>
      <c r="H43" s="28" t="s">
        <v>318</v>
      </c>
      <c r="I43" s="28" t="s">
        <v>397</v>
      </c>
      <c r="J43" s="28" t="s">
        <v>320</v>
      </c>
      <c r="K43" s="28" t="s">
        <v>564</v>
      </c>
      <c r="L43" s="28" t="s">
        <v>565</v>
      </c>
      <c r="M43" s="28" t="s">
        <v>566</v>
      </c>
      <c r="N43" s="28" t="s">
        <v>408</v>
      </c>
      <c r="O43" s="28" t="s">
        <v>567</v>
      </c>
      <c r="P43" s="28" t="s">
        <v>470</v>
      </c>
    </row>
    <row r="44" spans="1:16" ht="70" x14ac:dyDescent="0.45">
      <c r="A44" s="28" t="s">
        <v>568</v>
      </c>
      <c r="B44" s="28" t="s">
        <v>220</v>
      </c>
      <c r="C44" s="28" t="s">
        <v>221</v>
      </c>
      <c r="D44" s="28" t="s">
        <v>458</v>
      </c>
      <c r="E44" s="30" t="s">
        <v>326</v>
      </c>
      <c r="F44" s="28" t="s">
        <v>569</v>
      </c>
      <c r="G44" s="28" t="s">
        <v>187</v>
      </c>
      <c r="H44" s="28" t="s">
        <v>570</v>
      </c>
      <c r="I44" s="28" t="s">
        <v>571</v>
      </c>
      <c r="J44" s="28" t="s">
        <v>572</v>
      </c>
      <c r="K44" s="28" t="s">
        <v>573</v>
      </c>
      <c r="L44" s="28" t="s">
        <v>187</v>
      </c>
      <c r="M44" s="28" t="s">
        <v>574</v>
      </c>
      <c r="N44" s="28" t="s">
        <v>408</v>
      </c>
      <c r="O44" s="28" t="s">
        <v>575</v>
      </c>
      <c r="P44" s="28" t="s">
        <v>187</v>
      </c>
    </row>
    <row r="45" spans="1:16" ht="70" x14ac:dyDescent="0.45">
      <c r="A45" s="28" t="s">
        <v>576</v>
      </c>
      <c r="B45" s="28" t="s">
        <v>220</v>
      </c>
      <c r="C45" s="28" t="s">
        <v>221</v>
      </c>
      <c r="D45" s="28" t="s">
        <v>458</v>
      </c>
      <c r="E45" s="29" t="s">
        <v>289</v>
      </c>
      <c r="F45" s="28" t="s">
        <v>577</v>
      </c>
      <c r="G45" s="28" t="s">
        <v>187</v>
      </c>
      <c r="H45" s="28" t="s">
        <v>570</v>
      </c>
      <c r="I45" s="28" t="s">
        <v>571</v>
      </c>
      <c r="J45" s="28" t="s">
        <v>572</v>
      </c>
      <c r="K45" s="28" t="s">
        <v>578</v>
      </c>
      <c r="L45" s="28" t="s">
        <v>579</v>
      </c>
      <c r="M45" s="28" t="s">
        <v>580</v>
      </c>
      <c r="N45" s="28" t="s">
        <v>581</v>
      </c>
      <c r="O45" s="28" t="s">
        <v>575</v>
      </c>
      <c r="P45" s="28" t="s">
        <v>187</v>
      </c>
    </row>
    <row r="46" spans="1:16" ht="87.5" x14ac:dyDescent="0.45">
      <c r="A46" s="28" t="s">
        <v>582</v>
      </c>
      <c r="B46" s="28" t="s">
        <v>220</v>
      </c>
      <c r="C46" s="28" t="s">
        <v>221</v>
      </c>
      <c r="D46" s="28" t="s">
        <v>458</v>
      </c>
      <c r="E46" s="29" t="s">
        <v>289</v>
      </c>
      <c r="F46" s="28" t="s">
        <v>583</v>
      </c>
      <c r="G46" s="28" t="s">
        <v>187</v>
      </c>
      <c r="H46" s="28" t="s">
        <v>570</v>
      </c>
      <c r="I46" s="28" t="s">
        <v>571</v>
      </c>
      <c r="J46" s="28" t="s">
        <v>572</v>
      </c>
      <c r="K46" s="28" t="s">
        <v>584</v>
      </c>
      <c r="L46" s="28" t="s">
        <v>187</v>
      </c>
      <c r="M46" s="28" t="s">
        <v>585</v>
      </c>
      <c r="N46" s="28" t="s">
        <v>586</v>
      </c>
      <c r="O46" s="28" t="s">
        <v>575</v>
      </c>
      <c r="P46" s="28" t="s">
        <v>187</v>
      </c>
    </row>
    <row r="47" spans="1:16" ht="87.5" x14ac:dyDescent="0.45">
      <c r="A47" s="28" t="s">
        <v>587</v>
      </c>
      <c r="B47" s="28" t="s">
        <v>245</v>
      </c>
      <c r="C47" s="28" t="s">
        <v>246</v>
      </c>
      <c r="D47" s="28" t="s">
        <v>588</v>
      </c>
      <c r="E47" s="29" t="s">
        <v>289</v>
      </c>
      <c r="F47" s="28" t="s">
        <v>589</v>
      </c>
      <c r="G47" s="28" t="s">
        <v>291</v>
      </c>
      <c r="H47" s="28" t="s">
        <v>318</v>
      </c>
      <c r="I47" s="28" t="s">
        <v>397</v>
      </c>
      <c r="J47" s="28" t="s">
        <v>320</v>
      </c>
      <c r="K47" s="28" t="s">
        <v>590</v>
      </c>
      <c r="L47" s="28" t="s">
        <v>187</v>
      </c>
      <c r="M47" s="28" t="s">
        <v>591</v>
      </c>
      <c r="N47" s="28" t="s">
        <v>592</v>
      </c>
      <c r="O47" s="28" t="s">
        <v>593</v>
      </c>
      <c r="P47" s="28" t="s">
        <v>594</v>
      </c>
    </row>
    <row r="48" spans="1:16" ht="35" x14ac:dyDescent="0.45">
      <c r="A48" s="28" t="s">
        <v>595</v>
      </c>
      <c r="B48" s="28" t="s">
        <v>245</v>
      </c>
      <c r="C48" s="28" t="s">
        <v>246</v>
      </c>
      <c r="D48" s="28" t="s">
        <v>588</v>
      </c>
      <c r="E48" s="30" t="s">
        <v>326</v>
      </c>
      <c r="F48" s="28" t="s">
        <v>589</v>
      </c>
      <c r="G48" s="28" t="s">
        <v>187</v>
      </c>
      <c r="H48" s="28" t="s">
        <v>318</v>
      </c>
      <c r="I48" s="28" t="s">
        <v>397</v>
      </c>
      <c r="J48" s="28" t="s">
        <v>320</v>
      </c>
      <c r="K48" s="28" t="s">
        <v>596</v>
      </c>
      <c r="L48" s="28" t="s">
        <v>597</v>
      </c>
      <c r="M48" s="28" t="s">
        <v>598</v>
      </c>
      <c r="N48" s="28" t="s">
        <v>408</v>
      </c>
      <c r="O48" s="28" t="s">
        <v>599</v>
      </c>
      <c r="P48" s="28" t="s">
        <v>594</v>
      </c>
    </row>
    <row r="49" spans="1:16" ht="35" x14ac:dyDescent="0.45">
      <c r="A49" s="28" t="s">
        <v>600</v>
      </c>
      <c r="B49" s="28" t="s">
        <v>245</v>
      </c>
      <c r="C49" s="28" t="s">
        <v>246</v>
      </c>
      <c r="D49" s="28" t="s">
        <v>588</v>
      </c>
      <c r="E49" s="30" t="s">
        <v>326</v>
      </c>
      <c r="F49" s="28" t="s">
        <v>601</v>
      </c>
      <c r="G49" s="28" t="s">
        <v>187</v>
      </c>
      <c r="H49" s="28" t="s">
        <v>318</v>
      </c>
      <c r="I49" s="28" t="s">
        <v>397</v>
      </c>
      <c r="J49" s="28" t="s">
        <v>320</v>
      </c>
      <c r="K49" s="28" t="s">
        <v>602</v>
      </c>
      <c r="L49" s="28" t="s">
        <v>603</v>
      </c>
      <c r="M49" s="28" t="s">
        <v>604</v>
      </c>
      <c r="N49" s="28" t="s">
        <v>408</v>
      </c>
      <c r="O49" s="28" t="s">
        <v>605</v>
      </c>
      <c r="P49" s="28" t="s">
        <v>187</v>
      </c>
    </row>
    <row r="50" spans="1:16" ht="52.5" x14ac:dyDescent="0.45">
      <c r="A50" s="28" t="s">
        <v>606</v>
      </c>
      <c r="B50" s="28" t="s">
        <v>245</v>
      </c>
      <c r="C50" s="28" t="s">
        <v>246</v>
      </c>
      <c r="D50" s="28" t="s">
        <v>588</v>
      </c>
      <c r="E50" s="32" t="s">
        <v>385</v>
      </c>
      <c r="F50" s="28" t="s">
        <v>601</v>
      </c>
      <c r="G50" s="28" t="s">
        <v>291</v>
      </c>
      <c r="H50" s="28" t="s">
        <v>318</v>
      </c>
      <c r="I50" s="28" t="s">
        <v>397</v>
      </c>
      <c r="J50" s="28" t="s">
        <v>320</v>
      </c>
      <c r="K50" s="28" t="s">
        <v>607</v>
      </c>
      <c r="L50" s="28" t="s">
        <v>608</v>
      </c>
      <c r="M50" s="28" t="s">
        <v>609</v>
      </c>
      <c r="N50" s="28" t="s">
        <v>610</v>
      </c>
      <c r="O50" s="28" t="s">
        <v>611</v>
      </c>
      <c r="P50" s="28" t="s">
        <v>594</v>
      </c>
    </row>
    <row r="51" spans="1:16" ht="35" x14ac:dyDescent="0.45">
      <c r="A51" s="28" t="s">
        <v>612</v>
      </c>
      <c r="B51" s="28" t="s">
        <v>245</v>
      </c>
      <c r="C51" s="28" t="s">
        <v>246</v>
      </c>
      <c r="D51" s="28" t="s">
        <v>588</v>
      </c>
      <c r="E51" s="32" t="s">
        <v>385</v>
      </c>
      <c r="F51" s="28" t="s">
        <v>613</v>
      </c>
      <c r="G51" s="28" t="s">
        <v>291</v>
      </c>
      <c r="H51" s="28" t="s">
        <v>318</v>
      </c>
      <c r="I51" s="28" t="s">
        <v>397</v>
      </c>
      <c r="J51" s="28" t="s">
        <v>320</v>
      </c>
      <c r="K51" s="28" t="s">
        <v>614</v>
      </c>
      <c r="L51" s="28" t="s">
        <v>615</v>
      </c>
      <c r="M51" s="28" t="s">
        <v>616</v>
      </c>
      <c r="N51" s="28" t="s">
        <v>617</v>
      </c>
      <c r="O51" s="28" t="s">
        <v>618</v>
      </c>
      <c r="P51" s="28" t="s">
        <v>594</v>
      </c>
    </row>
    <row r="52" spans="1:16" ht="36" x14ac:dyDescent="0.45">
      <c r="A52" s="28" t="s">
        <v>619</v>
      </c>
      <c r="B52" s="28" t="s">
        <v>245</v>
      </c>
      <c r="C52" s="28" t="s">
        <v>246</v>
      </c>
      <c r="D52" s="28" t="s">
        <v>588</v>
      </c>
      <c r="E52" s="31" t="s">
        <v>340</v>
      </c>
      <c r="F52" s="28" t="s">
        <v>601</v>
      </c>
      <c r="G52" s="28" t="s">
        <v>187</v>
      </c>
      <c r="H52" s="28" t="s">
        <v>318</v>
      </c>
      <c r="I52" s="28" t="s">
        <v>397</v>
      </c>
      <c r="J52" s="28" t="s">
        <v>320</v>
      </c>
      <c r="K52" s="28" t="s">
        <v>620</v>
      </c>
      <c r="L52" s="28" t="s">
        <v>621</v>
      </c>
      <c r="M52" s="28" t="s">
        <v>622</v>
      </c>
      <c r="N52" s="28" t="s">
        <v>623</v>
      </c>
      <c r="O52" s="28" t="s">
        <v>624</v>
      </c>
      <c r="P52" s="28" t="s">
        <v>594</v>
      </c>
    </row>
    <row r="53" spans="1:16" ht="87.5" x14ac:dyDescent="0.45">
      <c r="A53" s="28" t="s">
        <v>625</v>
      </c>
      <c r="B53" s="28" t="s">
        <v>245</v>
      </c>
      <c r="C53" s="28" t="s">
        <v>246</v>
      </c>
      <c r="D53" s="28" t="s">
        <v>588</v>
      </c>
      <c r="E53" s="29" t="s">
        <v>289</v>
      </c>
      <c r="F53" s="28" t="s">
        <v>626</v>
      </c>
      <c r="G53" s="28" t="s">
        <v>291</v>
      </c>
      <c r="H53" s="28" t="s">
        <v>318</v>
      </c>
      <c r="I53" s="28" t="s">
        <v>386</v>
      </c>
      <c r="J53" s="28" t="s">
        <v>320</v>
      </c>
      <c r="K53" s="28" t="s">
        <v>627</v>
      </c>
      <c r="L53" s="28" t="s">
        <v>187</v>
      </c>
      <c r="M53" s="28" t="s">
        <v>628</v>
      </c>
      <c r="N53" s="28" t="s">
        <v>629</v>
      </c>
      <c r="O53" s="28" t="s">
        <v>630</v>
      </c>
      <c r="P53" s="28" t="s">
        <v>631</v>
      </c>
    </row>
    <row r="54" spans="1:16" ht="35" x14ac:dyDescent="0.45">
      <c r="A54" s="28" t="s">
        <v>632</v>
      </c>
      <c r="B54" s="28" t="s">
        <v>245</v>
      </c>
      <c r="C54" s="28" t="s">
        <v>246</v>
      </c>
      <c r="D54" s="28" t="s">
        <v>588</v>
      </c>
      <c r="E54" s="30" t="s">
        <v>326</v>
      </c>
      <c r="F54" s="28" t="s">
        <v>633</v>
      </c>
      <c r="G54" s="28" t="s">
        <v>187</v>
      </c>
      <c r="H54" s="28" t="s">
        <v>318</v>
      </c>
      <c r="I54" s="28" t="s">
        <v>386</v>
      </c>
      <c r="J54" s="28" t="s">
        <v>320</v>
      </c>
      <c r="K54" s="28" t="s">
        <v>634</v>
      </c>
      <c r="L54" s="28" t="s">
        <v>635</v>
      </c>
      <c r="M54" s="28" t="s">
        <v>636</v>
      </c>
      <c r="N54" s="28" t="s">
        <v>408</v>
      </c>
      <c r="O54" s="28" t="s">
        <v>637</v>
      </c>
      <c r="P54" s="28" t="s">
        <v>631</v>
      </c>
    </row>
    <row r="55" spans="1:16" ht="35" x14ac:dyDescent="0.45">
      <c r="A55" s="28" t="s">
        <v>638</v>
      </c>
      <c r="B55" s="28" t="s">
        <v>245</v>
      </c>
      <c r="C55" s="28" t="s">
        <v>246</v>
      </c>
      <c r="D55" s="28" t="s">
        <v>588</v>
      </c>
      <c r="E55" s="30" t="s">
        <v>326</v>
      </c>
      <c r="F55" s="28" t="s">
        <v>639</v>
      </c>
      <c r="G55" s="28" t="s">
        <v>187</v>
      </c>
      <c r="H55" s="28" t="s">
        <v>318</v>
      </c>
      <c r="I55" s="28" t="s">
        <v>386</v>
      </c>
      <c r="J55" s="28" t="s">
        <v>320</v>
      </c>
      <c r="K55" s="28" t="s">
        <v>640</v>
      </c>
      <c r="L55" s="28" t="s">
        <v>635</v>
      </c>
      <c r="M55" s="28" t="s">
        <v>641</v>
      </c>
      <c r="N55" s="28" t="s">
        <v>408</v>
      </c>
      <c r="O55" s="28" t="s">
        <v>642</v>
      </c>
      <c r="P55" s="28" t="s">
        <v>643</v>
      </c>
    </row>
    <row r="56" spans="1:16" ht="35" x14ac:dyDescent="0.45">
      <c r="A56" s="28" t="s">
        <v>644</v>
      </c>
      <c r="B56" s="28" t="s">
        <v>245</v>
      </c>
      <c r="C56" s="28" t="s">
        <v>246</v>
      </c>
      <c r="D56" s="28" t="s">
        <v>588</v>
      </c>
      <c r="E56" s="32" t="s">
        <v>385</v>
      </c>
      <c r="F56" s="28" t="s">
        <v>645</v>
      </c>
      <c r="G56" s="28" t="s">
        <v>187</v>
      </c>
      <c r="H56" s="28" t="s">
        <v>318</v>
      </c>
      <c r="I56" s="28" t="s">
        <v>386</v>
      </c>
      <c r="J56" s="28" t="s">
        <v>320</v>
      </c>
      <c r="K56" s="28" t="s">
        <v>646</v>
      </c>
      <c r="L56" s="28" t="s">
        <v>647</v>
      </c>
      <c r="M56" s="28" t="s">
        <v>648</v>
      </c>
      <c r="N56" s="28" t="s">
        <v>649</v>
      </c>
      <c r="O56" s="28" t="s">
        <v>650</v>
      </c>
      <c r="P56" s="28" t="s">
        <v>631</v>
      </c>
    </row>
    <row r="57" spans="1:16" ht="35" x14ac:dyDescent="0.45">
      <c r="A57" s="28" t="s">
        <v>651</v>
      </c>
      <c r="B57" s="28" t="s">
        <v>245</v>
      </c>
      <c r="C57" s="28" t="s">
        <v>246</v>
      </c>
      <c r="D57" s="28" t="s">
        <v>588</v>
      </c>
      <c r="E57" s="32" t="s">
        <v>385</v>
      </c>
      <c r="F57" s="28" t="s">
        <v>652</v>
      </c>
      <c r="G57" s="28" t="s">
        <v>187</v>
      </c>
      <c r="H57" s="28" t="s">
        <v>318</v>
      </c>
      <c r="I57" s="28" t="s">
        <v>386</v>
      </c>
      <c r="J57" s="28" t="s">
        <v>320</v>
      </c>
      <c r="K57" s="28" t="s">
        <v>653</v>
      </c>
      <c r="L57" s="28" t="s">
        <v>654</v>
      </c>
      <c r="M57" s="28" t="s">
        <v>655</v>
      </c>
      <c r="N57" s="28" t="s">
        <v>656</v>
      </c>
      <c r="O57" s="28" t="s">
        <v>657</v>
      </c>
      <c r="P57" s="28" t="s">
        <v>631</v>
      </c>
    </row>
    <row r="58" spans="1:16" ht="70" x14ac:dyDescent="0.45">
      <c r="A58" s="28" t="s">
        <v>658</v>
      </c>
      <c r="B58" s="28" t="s">
        <v>245</v>
      </c>
      <c r="C58" s="28" t="s">
        <v>246</v>
      </c>
      <c r="D58" s="28" t="s">
        <v>588</v>
      </c>
      <c r="E58" s="29" t="s">
        <v>289</v>
      </c>
      <c r="F58" s="28" t="s">
        <v>659</v>
      </c>
      <c r="G58" s="28" t="s">
        <v>291</v>
      </c>
      <c r="H58" s="28" t="s">
        <v>570</v>
      </c>
      <c r="I58" s="28" t="s">
        <v>571</v>
      </c>
      <c r="J58" s="28" t="s">
        <v>572</v>
      </c>
      <c r="K58" s="28" t="s">
        <v>660</v>
      </c>
      <c r="L58" s="28" t="s">
        <v>187</v>
      </c>
      <c r="M58" s="28" t="s">
        <v>661</v>
      </c>
      <c r="N58" s="28" t="s">
        <v>662</v>
      </c>
      <c r="O58" s="28" t="s">
        <v>575</v>
      </c>
      <c r="P58" s="28" t="s">
        <v>187</v>
      </c>
    </row>
    <row r="59" spans="1:16" ht="70" x14ac:dyDescent="0.45">
      <c r="A59" s="28" t="s">
        <v>663</v>
      </c>
      <c r="B59" s="28" t="s">
        <v>245</v>
      </c>
      <c r="C59" s="28" t="s">
        <v>246</v>
      </c>
      <c r="D59" s="28" t="s">
        <v>588</v>
      </c>
      <c r="E59" s="29" t="s">
        <v>289</v>
      </c>
      <c r="F59" s="28" t="s">
        <v>664</v>
      </c>
      <c r="G59" s="28" t="s">
        <v>291</v>
      </c>
      <c r="H59" s="28" t="s">
        <v>570</v>
      </c>
      <c r="I59" s="28" t="s">
        <v>571</v>
      </c>
      <c r="J59" s="28" t="s">
        <v>572</v>
      </c>
      <c r="K59" s="28" t="s">
        <v>665</v>
      </c>
      <c r="L59" s="28" t="s">
        <v>666</v>
      </c>
      <c r="M59" s="28" t="s">
        <v>667</v>
      </c>
      <c r="N59" s="28" t="s">
        <v>668</v>
      </c>
      <c r="O59" s="28" t="s">
        <v>575</v>
      </c>
      <c r="P59" s="28" t="s">
        <v>187</v>
      </c>
    </row>
    <row r="60" spans="1:16" ht="70" x14ac:dyDescent="0.45">
      <c r="A60" s="28" t="s">
        <v>669</v>
      </c>
      <c r="B60" s="28" t="s">
        <v>245</v>
      </c>
      <c r="C60" s="28" t="s">
        <v>246</v>
      </c>
      <c r="D60" s="28" t="s">
        <v>588</v>
      </c>
      <c r="E60" s="32" t="s">
        <v>385</v>
      </c>
      <c r="F60" s="28" t="s">
        <v>670</v>
      </c>
      <c r="G60" s="28" t="s">
        <v>291</v>
      </c>
      <c r="H60" s="28" t="s">
        <v>570</v>
      </c>
      <c r="I60" s="28" t="s">
        <v>571</v>
      </c>
      <c r="J60" s="28" t="s">
        <v>572</v>
      </c>
      <c r="K60" s="28" t="s">
        <v>671</v>
      </c>
      <c r="L60" s="28" t="s">
        <v>672</v>
      </c>
      <c r="M60" s="28" t="s">
        <v>673</v>
      </c>
      <c r="N60" s="28" t="s">
        <v>674</v>
      </c>
      <c r="O60" s="28" t="s">
        <v>575</v>
      </c>
      <c r="P60" s="28" t="s">
        <v>187</v>
      </c>
    </row>
    <row r="61" spans="1:16" ht="70" x14ac:dyDescent="0.45">
      <c r="A61" s="28" t="s">
        <v>675</v>
      </c>
      <c r="B61" s="28" t="s">
        <v>245</v>
      </c>
      <c r="C61" s="28" t="s">
        <v>246</v>
      </c>
      <c r="D61" s="28" t="s">
        <v>588</v>
      </c>
      <c r="E61" s="29" t="s">
        <v>289</v>
      </c>
      <c r="F61" s="28" t="s">
        <v>676</v>
      </c>
      <c r="G61" s="28" t="s">
        <v>291</v>
      </c>
      <c r="H61" s="28" t="s">
        <v>318</v>
      </c>
      <c r="I61" s="28" t="s">
        <v>386</v>
      </c>
      <c r="J61" s="28" t="s">
        <v>320</v>
      </c>
      <c r="K61" s="28" t="s">
        <v>677</v>
      </c>
      <c r="L61" s="28" t="s">
        <v>187</v>
      </c>
      <c r="M61" s="28" t="s">
        <v>678</v>
      </c>
      <c r="N61" s="28" t="s">
        <v>679</v>
      </c>
      <c r="O61" s="28" t="s">
        <v>680</v>
      </c>
      <c r="P61" s="28" t="s">
        <v>681</v>
      </c>
    </row>
    <row r="62" spans="1:16" ht="35" x14ac:dyDescent="0.45">
      <c r="A62" s="28" t="s">
        <v>682</v>
      </c>
      <c r="B62" s="28" t="s">
        <v>245</v>
      </c>
      <c r="C62" s="28" t="s">
        <v>246</v>
      </c>
      <c r="D62" s="28" t="s">
        <v>588</v>
      </c>
      <c r="E62" s="30" t="s">
        <v>326</v>
      </c>
      <c r="F62" s="28" t="s">
        <v>683</v>
      </c>
      <c r="G62" s="28" t="s">
        <v>187</v>
      </c>
      <c r="H62" s="28" t="s">
        <v>318</v>
      </c>
      <c r="I62" s="28" t="s">
        <v>386</v>
      </c>
      <c r="J62" s="28" t="s">
        <v>320</v>
      </c>
      <c r="K62" s="28" t="s">
        <v>684</v>
      </c>
      <c r="L62" s="28" t="s">
        <v>685</v>
      </c>
      <c r="M62" s="28" t="s">
        <v>686</v>
      </c>
      <c r="N62" s="28" t="s">
        <v>408</v>
      </c>
      <c r="O62" s="28" t="s">
        <v>687</v>
      </c>
      <c r="P62" s="28" t="s">
        <v>688</v>
      </c>
    </row>
    <row r="63" spans="1:16" ht="35" x14ac:dyDescent="0.45">
      <c r="A63" s="28" t="s">
        <v>689</v>
      </c>
      <c r="B63" s="28" t="s">
        <v>245</v>
      </c>
      <c r="C63" s="28" t="s">
        <v>246</v>
      </c>
      <c r="D63" s="28" t="s">
        <v>588</v>
      </c>
      <c r="E63" s="30" t="s">
        <v>326</v>
      </c>
      <c r="F63" s="28" t="s">
        <v>690</v>
      </c>
      <c r="G63" s="28" t="s">
        <v>187</v>
      </c>
      <c r="H63" s="28" t="s">
        <v>318</v>
      </c>
      <c r="I63" s="28" t="s">
        <v>691</v>
      </c>
      <c r="J63" s="28" t="s">
        <v>320</v>
      </c>
      <c r="K63" s="28" t="s">
        <v>692</v>
      </c>
      <c r="L63" s="28" t="s">
        <v>693</v>
      </c>
      <c r="M63" s="28" t="s">
        <v>694</v>
      </c>
      <c r="N63" s="28" t="s">
        <v>408</v>
      </c>
      <c r="O63" s="28" t="s">
        <v>695</v>
      </c>
      <c r="P63" s="28" t="s">
        <v>187</v>
      </c>
    </row>
    <row r="64" spans="1:16" ht="35" x14ac:dyDescent="0.45">
      <c r="A64" s="28" t="s">
        <v>696</v>
      </c>
      <c r="B64" s="28" t="s">
        <v>245</v>
      </c>
      <c r="C64" s="28" t="s">
        <v>246</v>
      </c>
      <c r="D64" s="28" t="s">
        <v>588</v>
      </c>
      <c r="E64" s="30" t="s">
        <v>326</v>
      </c>
      <c r="F64" s="28" t="s">
        <v>697</v>
      </c>
      <c r="G64" s="28" t="s">
        <v>187</v>
      </c>
      <c r="H64" s="28" t="s">
        <v>318</v>
      </c>
      <c r="I64" s="28" t="s">
        <v>397</v>
      </c>
      <c r="J64" s="28" t="s">
        <v>320</v>
      </c>
      <c r="K64" s="28" t="s">
        <v>698</v>
      </c>
      <c r="L64" s="28" t="s">
        <v>699</v>
      </c>
      <c r="M64" s="28" t="s">
        <v>700</v>
      </c>
      <c r="N64" s="28" t="s">
        <v>408</v>
      </c>
      <c r="O64" s="28" t="s">
        <v>701</v>
      </c>
      <c r="P64" s="28" t="s">
        <v>702</v>
      </c>
    </row>
    <row r="65" spans="1:16" ht="70" x14ac:dyDescent="0.45">
      <c r="A65" s="28" t="s">
        <v>703</v>
      </c>
      <c r="B65" s="28" t="s">
        <v>245</v>
      </c>
      <c r="C65" s="28" t="s">
        <v>246</v>
      </c>
      <c r="D65" s="28" t="s">
        <v>588</v>
      </c>
      <c r="E65" s="32" t="s">
        <v>385</v>
      </c>
      <c r="F65" s="28" t="s">
        <v>704</v>
      </c>
      <c r="G65" s="28" t="s">
        <v>291</v>
      </c>
      <c r="H65" s="28" t="s">
        <v>318</v>
      </c>
      <c r="I65" s="28" t="s">
        <v>397</v>
      </c>
      <c r="J65" s="28" t="s">
        <v>320</v>
      </c>
      <c r="K65" s="28" t="s">
        <v>705</v>
      </c>
      <c r="L65" s="28" t="s">
        <v>706</v>
      </c>
      <c r="M65" s="28" t="s">
        <v>707</v>
      </c>
      <c r="N65" s="28" t="s">
        <v>708</v>
      </c>
      <c r="O65" s="28" t="s">
        <v>709</v>
      </c>
      <c r="P65" s="28" t="s">
        <v>702</v>
      </c>
    </row>
    <row r="66" spans="1:16" ht="52.5" x14ac:dyDescent="0.45">
      <c r="A66" s="28" t="s">
        <v>710</v>
      </c>
      <c r="B66" s="28" t="s">
        <v>245</v>
      </c>
      <c r="C66" s="28" t="s">
        <v>246</v>
      </c>
      <c r="D66" s="28" t="s">
        <v>588</v>
      </c>
      <c r="E66" s="32" t="s">
        <v>385</v>
      </c>
      <c r="F66" s="28" t="s">
        <v>711</v>
      </c>
      <c r="G66" s="28" t="s">
        <v>291</v>
      </c>
      <c r="H66" s="28" t="s">
        <v>318</v>
      </c>
      <c r="I66" s="28" t="s">
        <v>397</v>
      </c>
      <c r="J66" s="28" t="s">
        <v>320</v>
      </c>
      <c r="K66" s="28" t="s">
        <v>712</v>
      </c>
      <c r="L66" s="28" t="s">
        <v>713</v>
      </c>
      <c r="M66" s="28" t="s">
        <v>714</v>
      </c>
      <c r="N66" s="28" t="s">
        <v>715</v>
      </c>
      <c r="O66" s="28" t="s">
        <v>716</v>
      </c>
      <c r="P66" s="28" t="s">
        <v>702</v>
      </c>
    </row>
    <row r="67" spans="1:16" ht="70" x14ac:dyDescent="0.45">
      <c r="A67" s="28" t="s">
        <v>717</v>
      </c>
      <c r="B67" s="28" t="s">
        <v>245</v>
      </c>
      <c r="C67" s="28" t="s">
        <v>246</v>
      </c>
      <c r="D67" s="28" t="s">
        <v>588</v>
      </c>
      <c r="E67" s="32" t="s">
        <v>385</v>
      </c>
      <c r="F67" s="28" t="s">
        <v>718</v>
      </c>
      <c r="G67" s="28" t="s">
        <v>187</v>
      </c>
      <c r="H67" s="28" t="s">
        <v>318</v>
      </c>
      <c r="I67" s="28" t="s">
        <v>397</v>
      </c>
      <c r="J67" s="28" t="s">
        <v>320</v>
      </c>
      <c r="K67" s="28" t="s">
        <v>719</v>
      </c>
      <c r="L67" s="28" t="s">
        <v>720</v>
      </c>
      <c r="M67" s="28" t="s">
        <v>721</v>
      </c>
      <c r="N67" s="28" t="s">
        <v>722</v>
      </c>
      <c r="O67" s="28" t="s">
        <v>723</v>
      </c>
      <c r="P67" s="28" t="s">
        <v>702</v>
      </c>
    </row>
    <row r="68" spans="1:16" ht="52.5" x14ac:dyDescent="0.45">
      <c r="A68" s="28" t="s">
        <v>724</v>
      </c>
      <c r="B68" s="28" t="s">
        <v>245</v>
      </c>
      <c r="C68" s="28" t="s">
        <v>246</v>
      </c>
      <c r="D68" s="28" t="s">
        <v>588</v>
      </c>
      <c r="E68" s="32" t="s">
        <v>385</v>
      </c>
      <c r="F68" s="28" t="s">
        <v>725</v>
      </c>
      <c r="G68" s="28" t="s">
        <v>187</v>
      </c>
      <c r="H68" s="28" t="s">
        <v>318</v>
      </c>
      <c r="I68" s="28" t="s">
        <v>397</v>
      </c>
      <c r="J68" s="28" t="s">
        <v>320</v>
      </c>
      <c r="K68" s="28" t="s">
        <v>726</v>
      </c>
      <c r="L68" s="28" t="s">
        <v>727</v>
      </c>
      <c r="M68" s="28" t="s">
        <v>728</v>
      </c>
      <c r="N68" s="28" t="s">
        <v>729</v>
      </c>
      <c r="O68" s="28" t="s">
        <v>354</v>
      </c>
      <c r="P68" s="28" t="s">
        <v>187</v>
      </c>
    </row>
    <row r="69" spans="1:16" ht="70" x14ac:dyDescent="0.45">
      <c r="A69" s="28" t="s">
        <v>730</v>
      </c>
      <c r="B69" s="28" t="s">
        <v>245</v>
      </c>
      <c r="C69" s="28" t="s">
        <v>246</v>
      </c>
      <c r="D69" s="28" t="s">
        <v>588</v>
      </c>
      <c r="E69" s="30" t="s">
        <v>326</v>
      </c>
      <c r="F69" s="28" t="s">
        <v>731</v>
      </c>
      <c r="G69" s="28" t="s">
        <v>187</v>
      </c>
      <c r="H69" s="28" t="s">
        <v>570</v>
      </c>
      <c r="I69" s="28" t="s">
        <v>571</v>
      </c>
      <c r="J69" s="28" t="s">
        <v>572</v>
      </c>
      <c r="K69" s="28" t="s">
        <v>732</v>
      </c>
      <c r="L69" s="28" t="s">
        <v>733</v>
      </c>
      <c r="M69" s="28" t="s">
        <v>734</v>
      </c>
      <c r="N69" s="28" t="s">
        <v>408</v>
      </c>
      <c r="O69" s="28" t="s">
        <v>575</v>
      </c>
      <c r="P69" s="28" t="s">
        <v>187</v>
      </c>
    </row>
    <row r="70" spans="1:16" ht="70" x14ac:dyDescent="0.45">
      <c r="A70" s="28" t="s">
        <v>735</v>
      </c>
      <c r="B70" s="28" t="s">
        <v>245</v>
      </c>
      <c r="C70" s="28" t="s">
        <v>246</v>
      </c>
      <c r="D70" s="28" t="s">
        <v>588</v>
      </c>
      <c r="E70" s="29" t="s">
        <v>289</v>
      </c>
      <c r="F70" s="28" t="s">
        <v>736</v>
      </c>
      <c r="G70" s="28" t="s">
        <v>291</v>
      </c>
      <c r="H70" s="28" t="s">
        <v>318</v>
      </c>
      <c r="I70" s="28" t="s">
        <v>444</v>
      </c>
      <c r="J70" s="28" t="s">
        <v>320</v>
      </c>
      <c r="K70" s="28" t="s">
        <v>737</v>
      </c>
      <c r="L70" s="28" t="s">
        <v>187</v>
      </c>
      <c r="M70" s="28" t="s">
        <v>738</v>
      </c>
      <c r="N70" s="28" t="s">
        <v>739</v>
      </c>
      <c r="O70" s="28" t="s">
        <v>740</v>
      </c>
      <c r="P70" s="28" t="s">
        <v>187</v>
      </c>
    </row>
    <row r="71" spans="1:16" ht="35" x14ac:dyDescent="0.45">
      <c r="A71" s="28" t="s">
        <v>741</v>
      </c>
      <c r="B71" s="28" t="s">
        <v>245</v>
      </c>
      <c r="C71" s="28" t="s">
        <v>246</v>
      </c>
      <c r="D71" s="28" t="s">
        <v>588</v>
      </c>
      <c r="E71" s="30" t="s">
        <v>326</v>
      </c>
      <c r="F71" s="28" t="s">
        <v>742</v>
      </c>
      <c r="G71" s="28" t="s">
        <v>187</v>
      </c>
      <c r="H71" s="28" t="s">
        <v>318</v>
      </c>
      <c r="I71" s="28" t="s">
        <v>386</v>
      </c>
      <c r="J71" s="28" t="s">
        <v>320</v>
      </c>
      <c r="K71" s="28" t="s">
        <v>743</v>
      </c>
      <c r="L71" s="28" t="s">
        <v>744</v>
      </c>
      <c r="M71" s="28" t="s">
        <v>745</v>
      </c>
      <c r="N71" s="28" t="s">
        <v>408</v>
      </c>
      <c r="O71" s="28" t="s">
        <v>746</v>
      </c>
      <c r="P71" s="28" t="s">
        <v>688</v>
      </c>
    </row>
    <row r="72" spans="1:16" ht="35" x14ac:dyDescent="0.45">
      <c r="A72" s="28" t="s">
        <v>747</v>
      </c>
      <c r="B72" s="28" t="s">
        <v>245</v>
      </c>
      <c r="C72" s="28" t="s">
        <v>246</v>
      </c>
      <c r="D72" s="28" t="s">
        <v>588</v>
      </c>
      <c r="E72" s="30" t="s">
        <v>326</v>
      </c>
      <c r="F72" s="28" t="s">
        <v>748</v>
      </c>
      <c r="G72" s="28" t="s">
        <v>187</v>
      </c>
      <c r="H72" s="28" t="s">
        <v>318</v>
      </c>
      <c r="I72" s="28" t="s">
        <v>691</v>
      </c>
      <c r="J72" s="28" t="s">
        <v>320</v>
      </c>
      <c r="K72" s="28" t="s">
        <v>749</v>
      </c>
      <c r="L72" s="28" t="s">
        <v>750</v>
      </c>
      <c r="M72" s="28" t="s">
        <v>751</v>
      </c>
      <c r="N72" s="28" t="s">
        <v>408</v>
      </c>
      <c r="O72" s="28" t="s">
        <v>752</v>
      </c>
      <c r="P72" s="28" t="s">
        <v>187</v>
      </c>
    </row>
    <row r="73" spans="1:16" ht="35" x14ac:dyDescent="0.45">
      <c r="A73" s="28" t="s">
        <v>753</v>
      </c>
      <c r="B73" s="28" t="s">
        <v>245</v>
      </c>
      <c r="C73" s="28" t="s">
        <v>246</v>
      </c>
      <c r="D73" s="28" t="s">
        <v>588</v>
      </c>
      <c r="E73" s="30" t="s">
        <v>326</v>
      </c>
      <c r="F73" s="28" t="s">
        <v>754</v>
      </c>
      <c r="G73" s="28" t="s">
        <v>187</v>
      </c>
      <c r="H73" s="28" t="s">
        <v>318</v>
      </c>
      <c r="I73" s="28" t="s">
        <v>397</v>
      </c>
      <c r="J73" s="28" t="s">
        <v>320</v>
      </c>
      <c r="K73" s="28" t="s">
        <v>755</v>
      </c>
      <c r="L73" s="28" t="s">
        <v>756</v>
      </c>
      <c r="M73" s="28" t="s">
        <v>757</v>
      </c>
      <c r="N73" s="28" t="s">
        <v>408</v>
      </c>
      <c r="O73" s="28" t="s">
        <v>758</v>
      </c>
      <c r="P73" s="28" t="s">
        <v>759</v>
      </c>
    </row>
    <row r="74" spans="1:16" ht="35" x14ac:dyDescent="0.45">
      <c r="A74" s="28" t="s">
        <v>760</v>
      </c>
      <c r="B74" s="28" t="s">
        <v>245</v>
      </c>
      <c r="C74" s="28" t="s">
        <v>246</v>
      </c>
      <c r="D74" s="28" t="s">
        <v>588</v>
      </c>
      <c r="E74" s="32" t="s">
        <v>385</v>
      </c>
      <c r="F74" s="28" t="s">
        <v>761</v>
      </c>
      <c r="G74" s="28" t="s">
        <v>291</v>
      </c>
      <c r="H74" s="28" t="s">
        <v>318</v>
      </c>
      <c r="I74" s="28" t="s">
        <v>397</v>
      </c>
      <c r="J74" s="28" t="s">
        <v>320</v>
      </c>
      <c r="K74" s="28" t="s">
        <v>762</v>
      </c>
      <c r="L74" s="28" t="s">
        <v>763</v>
      </c>
      <c r="M74" s="28" t="s">
        <v>764</v>
      </c>
      <c r="N74" s="28" t="s">
        <v>765</v>
      </c>
      <c r="O74" s="28" t="s">
        <v>766</v>
      </c>
      <c r="P74" s="28" t="s">
        <v>767</v>
      </c>
    </row>
    <row r="75" spans="1:16" ht="87.5" x14ac:dyDescent="0.45">
      <c r="A75" s="28" t="s">
        <v>768</v>
      </c>
      <c r="B75" s="28" t="s">
        <v>245</v>
      </c>
      <c r="C75" s="28" t="s">
        <v>246</v>
      </c>
      <c r="D75" s="28" t="s">
        <v>588</v>
      </c>
      <c r="E75" s="32" t="s">
        <v>385</v>
      </c>
      <c r="F75" s="28" t="s">
        <v>769</v>
      </c>
      <c r="G75" s="28" t="s">
        <v>291</v>
      </c>
      <c r="H75" s="28" t="s">
        <v>318</v>
      </c>
      <c r="I75" s="28" t="s">
        <v>397</v>
      </c>
      <c r="J75" s="28" t="s">
        <v>320</v>
      </c>
      <c r="K75" s="28" t="s">
        <v>770</v>
      </c>
      <c r="L75" s="28" t="s">
        <v>771</v>
      </c>
      <c r="M75" s="28" t="s">
        <v>772</v>
      </c>
      <c r="N75" s="28" t="s">
        <v>773</v>
      </c>
      <c r="O75" s="28" t="s">
        <v>774</v>
      </c>
      <c r="P75" s="28" t="s">
        <v>767</v>
      </c>
    </row>
    <row r="76" spans="1:16" ht="52.5" x14ac:dyDescent="0.45">
      <c r="A76" s="28" t="s">
        <v>775</v>
      </c>
      <c r="B76" s="28" t="s">
        <v>245</v>
      </c>
      <c r="C76" s="28" t="s">
        <v>246</v>
      </c>
      <c r="D76" s="28" t="s">
        <v>588</v>
      </c>
      <c r="E76" s="32" t="s">
        <v>385</v>
      </c>
      <c r="F76" s="28" t="s">
        <v>776</v>
      </c>
      <c r="G76" s="28" t="s">
        <v>291</v>
      </c>
      <c r="H76" s="28" t="s">
        <v>318</v>
      </c>
      <c r="I76" s="28" t="s">
        <v>397</v>
      </c>
      <c r="J76" s="28" t="s">
        <v>320</v>
      </c>
      <c r="K76" s="28" t="s">
        <v>777</v>
      </c>
      <c r="L76" s="28" t="s">
        <v>778</v>
      </c>
      <c r="M76" s="28" t="s">
        <v>779</v>
      </c>
      <c r="N76" s="28" t="s">
        <v>780</v>
      </c>
      <c r="O76" s="28" t="s">
        <v>781</v>
      </c>
      <c r="P76" s="28" t="s">
        <v>767</v>
      </c>
    </row>
    <row r="77" spans="1:16" ht="52.5" x14ac:dyDescent="0.45">
      <c r="A77" s="28" t="s">
        <v>782</v>
      </c>
      <c r="B77" s="28" t="s">
        <v>245</v>
      </c>
      <c r="C77" s="28" t="s">
        <v>246</v>
      </c>
      <c r="D77" s="28" t="s">
        <v>588</v>
      </c>
      <c r="E77" s="32" t="s">
        <v>385</v>
      </c>
      <c r="F77" s="28" t="s">
        <v>783</v>
      </c>
      <c r="G77" s="28" t="s">
        <v>291</v>
      </c>
      <c r="H77" s="28" t="s">
        <v>318</v>
      </c>
      <c r="I77" s="28" t="s">
        <v>397</v>
      </c>
      <c r="J77" s="28" t="s">
        <v>320</v>
      </c>
      <c r="K77" s="28" t="s">
        <v>784</v>
      </c>
      <c r="L77" s="28" t="s">
        <v>785</v>
      </c>
      <c r="M77" s="28" t="s">
        <v>786</v>
      </c>
      <c r="N77" s="28" t="s">
        <v>787</v>
      </c>
      <c r="O77" s="28" t="s">
        <v>788</v>
      </c>
      <c r="P77" s="28" t="s">
        <v>767</v>
      </c>
    </row>
    <row r="78" spans="1:16" ht="70" x14ac:dyDescent="0.45">
      <c r="A78" s="28" t="s">
        <v>789</v>
      </c>
      <c r="B78" s="28" t="s">
        <v>245</v>
      </c>
      <c r="C78" s="28" t="s">
        <v>246</v>
      </c>
      <c r="D78" s="28" t="s">
        <v>588</v>
      </c>
      <c r="E78" s="29" t="s">
        <v>289</v>
      </c>
      <c r="F78" s="28" t="s">
        <v>790</v>
      </c>
      <c r="G78" s="28" t="s">
        <v>291</v>
      </c>
      <c r="H78" s="28" t="s">
        <v>570</v>
      </c>
      <c r="I78" s="28" t="s">
        <v>571</v>
      </c>
      <c r="J78" s="28" t="s">
        <v>572</v>
      </c>
      <c r="K78" s="28" t="s">
        <v>791</v>
      </c>
      <c r="L78" s="28" t="s">
        <v>187</v>
      </c>
      <c r="M78" s="28" t="s">
        <v>792</v>
      </c>
      <c r="N78" s="28" t="s">
        <v>739</v>
      </c>
      <c r="O78" s="28" t="s">
        <v>575</v>
      </c>
      <c r="P78" s="28" t="s">
        <v>187</v>
      </c>
    </row>
    <row r="79" spans="1:16" ht="70" x14ac:dyDescent="0.45">
      <c r="A79" s="28" t="s">
        <v>793</v>
      </c>
      <c r="B79" s="28" t="s">
        <v>245</v>
      </c>
      <c r="C79" s="28" t="s">
        <v>246</v>
      </c>
      <c r="D79" s="28" t="s">
        <v>588</v>
      </c>
      <c r="E79" s="30" t="s">
        <v>326</v>
      </c>
      <c r="F79" s="28" t="s">
        <v>794</v>
      </c>
      <c r="G79" s="28" t="s">
        <v>187</v>
      </c>
      <c r="H79" s="28" t="s">
        <v>570</v>
      </c>
      <c r="I79" s="28" t="s">
        <v>571</v>
      </c>
      <c r="J79" s="28" t="s">
        <v>572</v>
      </c>
      <c r="K79" s="28" t="s">
        <v>795</v>
      </c>
      <c r="L79" s="28" t="s">
        <v>796</v>
      </c>
      <c r="M79" s="28" t="s">
        <v>797</v>
      </c>
      <c r="N79" s="28" t="s">
        <v>408</v>
      </c>
      <c r="O79" s="28" t="s">
        <v>575</v>
      </c>
      <c r="P79" s="28" t="s">
        <v>187</v>
      </c>
    </row>
    <row r="80" spans="1:16" ht="35" x14ac:dyDescent="0.45">
      <c r="A80" s="28" t="s">
        <v>798</v>
      </c>
      <c r="B80" s="28" t="s">
        <v>245</v>
      </c>
      <c r="C80" s="28" t="s">
        <v>246</v>
      </c>
      <c r="D80" s="28" t="s">
        <v>588</v>
      </c>
      <c r="E80" s="30" t="s">
        <v>326</v>
      </c>
      <c r="F80" s="28" t="s">
        <v>799</v>
      </c>
      <c r="G80" s="28" t="s">
        <v>187</v>
      </c>
      <c r="H80" s="28" t="s">
        <v>318</v>
      </c>
      <c r="I80" s="28" t="s">
        <v>397</v>
      </c>
      <c r="J80" s="28" t="s">
        <v>320</v>
      </c>
      <c r="K80" s="28" t="s">
        <v>800</v>
      </c>
      <c r="L80" s="28" t="s">
        <v>801</v>
      </c>
      <c r="M80" s="28" t="s">
        <v>802</v>
      </c>
      <c r="N80" s="28" t="s">
        <v>803</v>
      </c>
      <c r="O80" s="28" t="s">
        <v>354</v>
      </c>
      <c r="P80" s="28" t="s">
        <v>187</v>
      </c>
    </row>
    <row r="81" spans="1:16" ht="35" x14ac:dyDescent="0.45">
      <c r="A81" s="28" t="s">
        <v>804</v>
      </c>
      <c r="B81" s="28" t="s">
        <v>245</v>
      </c>
      <c r="C81" s="28" t="s">
        <v>246</v>
      </c>
      <c r="D81" s="28" t="s">
        <v>805</v>
      </c>
      <c r="E81" s="30" t="s">
        <v>326</v>
      </c>
      <c r="F81" s="28" t="s">
        <v>806</v>
      </c>
      <c r="G81" s="28" t="s">
        <v>187</v>
      </c>
      <c r="H81" s="28" t="s">
        <v>318</v>
      </c>
      <c r="I81" s="28" t="s">
        <v>386</v>
      </c>
      <c r="J81" s="28" t="s">
        <v>320</v>
      </c>
      <c r="K81" s="28" t="s">
        <v>807</v>
      </c>
      <c r="L81" s="28" t="s">
        <v>808</v>
      </c>
      <c r="M81" s="28" t="s">
        <v>809</v>
      </c>
      <c r="N81" s="28" t="s">
        <v>810</v>
      </c>
      <c r="O81" s="28" t="s">
        <v>811</v>
      </c>
      <c r="P81" s="28" t="s">
        <v>681</v>
      </c>
    </row>
    <row r="82" spans="1:16" ht="35" x14ac:dyDescent="0.45">
      <c r="A82" s="28" t="s">
        <v>812</v>
      </c>
      <c r="B82" s="28" t="s">
        <v>245</v>
      </c>
      <c r="C82" s="28" t="s">
        <v>246</v>
      </c>
      <c r="D82" s="28" t="s">
        <v>805</v>
      </c>
      <c r="E82" s="30" t="s">
        <v>326</v>
      </c>
      <c r="F82" s="28" t="s">
        <v>813</v>
      </c>
      <c r="G82" s="28" t="s">
        <v>187</v>
      </c>
      <c r="H82" s="28" t="s">
        <v>318</v>
      </c>
      <c r="I82" s="28" t="s">
        <v>397</v>
      </c>
      <c r="J82" s="28" t="s">
        <v>320</v>
      </c>
      <c r="K82" s="28" t="s">
        <v>814</v>
      </c>
      <c r="L82" s="28" t="s">
        <v>815</v>
      </c>
      <c r="M82" s="28" t="s">
        <v>816</v>
      </c>
      <c r="N82" s="28" t="s">
        <v>810</v>
      </c>
      <c r="O82" s="28" t="s">
        <v>817</v>
      </c>
      <c r="P82" s="28" t="s">
        <v>767</v>
      </c>
    </row>
    <row r="83" spans="1:16" ht="70" x14ac:dyDescent="0.45">
      <c r="A83" s="28" t="s">
        <v>818</v>
      </c>
      <c r="B83" s="28" t="s">
        <v>258</v>
      </c>
      <c r="C83" s="28" t="s">
        <v>259</v>
      </c>
      <c r="D83" s="28" t="s">
        <v>265</v>
      </c>
      <c r="E83" s="29" t="s">
        <v>289</v>
      </c>
      <c r="F83" s="28" t="s">
        <v>819</v>
      </c>
      <c r="G83" s="28" t="s">
        <v>291</v>
      </c>
      <c r="H83" s="28" t="s">
        <v>570</v>
      </c>
      <c r="I83" s="28" t="s">
        <v>571</v>
      </c>
      <c r="J83" s="28" t="s">
        <v>572</v>
      </c>
      <c r="K83" s="28" t="s">
        <v>820</v>
      </c>
      <c r="L83" s="28" t="s">
        <v>187</v>
      </c>
      <c r="M83" s="28" t="s">
        <v>821</v>
      </c>
      <c r="N83" s="28" t="s">
        <v>822</v>
      </c>
      <c r="O83" s="28" t="s">
        <v>575</v>
      </c>
      <c r="P83" s="28" t="s">
        <v>187</v>
      </c>
    </row>
    <row r="84" spans="1:16" ht="70" x14ac:dyDescent="0.45">
      <c r="A84" s="28" t="s">
        <v>823</v>
      </c>
      <c r="B84" s="28" t="s">
        <v>258</v>
      </c>
      <c r="C84" s="28" t="s">
        <v>259</v>
      </c>
      <c r="D84" s="28" t="s">
        <v>265</v>
      </c>
      <c r="E84" s="29" t="s">
        <v>289</v>
      </c>
      <c r="F84" s="28" t="s">
        <v>824</v>
      </c>
      <c r="G84" s="28" t="s">
        <v>291</v>
      </c>
      <c r="H84" s="28" t="s">
        <v>570</v>
      </c>
      <c r="I84" s="28" t="s">
        <v>571</v>
      </c>
      <c r="J84" s="28" t="s">
        <v>572</v>
      </c>
      <c r="K84" s="28" t="s">
        <v>825</v>
      </c>
      <c r="L84" s="28" t="s">
        <v>187</v>
      </c>
      <c r="M84" s="28" t="s">
        <v>826</v>
      </c>
      <c r="N84" s="28" t="s">
        <v>827</v>
      </c>
      <c r="O84" s="28" t="s">
        <v>575</v>
      </c>
      <c r="P84" s="28" t="s">
        <v>187</v>
      </c>
    </row>
    <row r="85" spans="1:16" ht="70" x14ac:dyDescent="0.45">
      <c r="A85" s="28" t="s">
        <v>828</v>
      </c>
      <c r="B85" s="28" t="s">
        <v>258</v>
      </c>
      <c r="C85" s="28" t="s">
        <v>259</v>
      </c>
      <c r="D85" s="28" t="s">
        <v>265</v>
      </c>
      <c r="E85" s="30" t="s">
        <v>326</v>
      </c>
      <c r="F85" s="28" t="s">
        <v>829</v>
      </c>
      <c r="G85" s="28" t="s">
        <v>187</v>
      </c>
      <c r="H85" s="28" t="s">
        <v>318</v>
      </c>
      <c r="I85" s="28" t="s">
        <v>319</v>
      </c>
      <c r="J85" s="28" t="s">
        <v>320</v>
      </c>
      <c r="K85" s="28" t="s">
        <v>830</v>
      </c>
      <c r="L85" s="28" t="s">
        <v>831</v>
      </c>
      <c r="M85" s="28" t="s">
        <v>832</v>
      </c>
      <c r="N85" s="28" t="s">
        <v>408</v>
      </c>
      <c r="O85" s="28" t="s">
        <v>833</v>
      </c>
      <c r="P85" s="28" t="s">
        <v>834</v>
      </c>
    </row>
    <row r="86" spans="1:16" ht="35" x14ac:dyDescent="0.45">
      <c r="A86" s="28" t="s">
        <v>835</v>
      </c>
      <c r="B86" s="28" t="s">
        <v>258</v>
      </c>
      <c r="C86" s="28" t="s">
        <v>259</v>
      </c>
      <c r="D86" s="28" t="s">
        <v>265</v>
      </c>
      <c r="E86" s="30" t="s">
        <v>326</v>
      </c>
      <c r="F86" s="28" t="s">
        <v>836</v>
      </c>
      <c r="G86" s="28" t="s">
        <v>187</v>
      </c>
      <c r="H86" s="28" t="s">
        <v>318</v>
      </c>
      <c r="I86" s="28" t="s">
        <v>319</v>
      </c>
      <c r="J86" s="28" t="s">
        <v>320</v>
      </c>
      <c r="K86" s="28" t="s">
        <v>837</v>
      </c>
      <c r="L86" s="28" t="s">
        <v>831</v>
      </c>
      <c r="M86" s="28" t="s">
        <v>838</v>
      </c>
      <c r="N86" s="28" t="s">
        <v>408</v>
      </c>
      <c r="O86" s="28" t="s">
        <v>839</v>
      </c>
      <c r="P86" s="28" t="s">
        <v>187</v>
      </c>
    </row>
    <row r="87" spans="1:16" ht="35" x14ac:dyDescent="0.45">
      <c r="A87" s="28" t="s">
        <v>840</v>
      </c>
      <c r="B87" s="28" t="s">
        <v>258</v>
      </c>
      <c r="C87" s="28" t="s">
        <v>259</v>
      </c>
      <c r="D87" s="28" t="s">
        <v>265</v>
      </c>
      <c r="E87" s="30" t="s">
        <v>326</v>
      </c>
      <c r="F87" s="28" t="s">
        <v>841</v>
      </c>
      <c r="G87" s="28" t="s">
        <v>187</v>
      </c>
      <c r="H87" s="28" t="s">
        <v>318</v>
      </c>
      <c r="I87" s="28" t="s">
        <v>319</v>
      </c>
      <c r="J87" s="28" t="s">
        <v>320</v>
      </c>
      <c r="K87" s="28" t="s">
        <v>842</v>
      </c>
      <c r="L87" s="28" t="s">
        <v>843</v>
      </c>
      <c r="M87" s="28" t="s">
        <v>844</v>
      </c>
      <c r="N87" s="28" t="s">
        <v>408</v>
      </c>
      <c r="O87" s="28" t="s">
        <v>845</v>
      </c>
      <c r="P87" s="28" t="s">
        <v>846</v>
      </c>
    </row>
    <row r="88" spans="1:16" ht="87.5" x14ac:dyDescent="0.45">
      <c r="A88" s="28" t="s">
        <v>847</v>
      </c>
      <c r="B88" s="28" t="s">
        <v>258</v>
      </c>
      <c r="C88" s="28" t="s">
        <v>259</v>
      </c>
      <c r="D88" s="28" t="s">
        <v>265</v>
      </c>
      <c r="E88" s="30" t="s">
        <v>326</v>
      </c>
      <c r="F88" s="28" t="s">
        <v>848</v>
      </c>
      <c r="G88" s="28" t="s">
        <v>187</v>
      </c>
      <c r="H88" s="28" t="s">
        <v>318</v>
      </c>
      <c r="I88" s="28" t="s">
        <v>319</v>
      </c>
      <c r="J88" s="28" t="s">
        <v>320</v>
      </c>
      <c r="K88" s="28" t="s">
        <v>849</v>
      </c>
      <c r="L88" s="28" t="s">
        <v>850</v>
      </c>
      <c r="M88" s="28" t="s">
        <v>851</v>
      </c>
      <c r="N88" s="28" t="s">
        <v>852</v>
      </c>
      <c r="O88" s="28" t="s">
        <v>853</v>
      </c>
      <c r="P88" s="28" t="s">
        <v>854</v>
      </c>
    </row>
    <row r="89" spans="1:16" ht="52.5" x14ac:dyDescent="0.45">
      <c r="A89" s="28" t="s">
        <v>855</v>
      </c>
      <c r="B89" s="28" t="s">
        <v>258</v>
      </c>
      <c r="C89" s="28" t="s">
        <v>259</v>
      </c>
      <c r="D89" s="28" t="s">
        <v>265</v>
      </c>
      <c r="E89" s="30" t="s">
        <v>326</v>
      </c>
      <c r="F89" s="28" t="s">
        <v>856</v>
      </c>
      <c r="G89" s="28" t="s">
        <v>187</v>
      </c>
      <c r="H89" s="28" t="s">
        <v>318</v>
      </c>
      <c r="I89" s="28" t="s">
        <v>857</v>
      </c>
      <c r="J89" s="28" t="s">
        <v>858</v>
      </c>
      <c r="K89" s="28" t="s">
        <v>859</v>
      </c>
      <c r="L89" s="28" t="s">
        <v>860</v>
      </c>
      <c r="M89" s="28" t="s">
        <v>861</v>
      </c>
      <c r="N89" s="28" t="s">
        <v>862</v>
      </c>
      <c r="O89" s="28" t="s">
        <v>863</v>
      </c>
      <c r="P89" s="28" t="s">
        <v>187</v>
      </c>
    </row>
    <row r="90" spans="1:16" ht="52.5" x14ac:dyDescent="0.45">
      <c r="A90" s="28" t="s">
        <v>864</v>
      </c>
      <c r="B90" s="28" t="s">
        <v>258</v>
      </c>
      <c r="C90" s="28" t="s">
        <v>259</v>
      </c>
      <c r="D90" s="28" t="s">
        <v>265</v>
      </c>
      <c r="E90" s="32" t="s">
        <v>385</v>
      </c>
      <c r="F90" s="28" t="s">
        <v>865</v>
      </c>
      <c r="G90" s="28" t="s">
        <v>187</v>
      </c>
      <c r="H90" s="28" t="s">
        <v>318</v>
      </c>
      <c r="I90" s="28" t="s">
        <v>319</v>
      </c>
      <c r="J90" s="28" t="s">
        <v>320</v>
      </c>
      <c r="K90" s="28" t="s">
        <v>866</v>
      </c>
      <c r="L90" s="28" t="s">
        <v>867</v>
      </c>
      <c r="M90" s="28" t="s">
        <v>868</v>
      </c>
      <c r="N90" s="28" t="s">
        <v>869</v>
      </c>
      <c r="O90" s="28" t="s">
        <v>870</v>
      </c>
      <c r="P90" s="28" t="s">
        <v>834</v>
      </c>
    </row>
    <row r="91" spans="1:16" ht="52.5" x14ac:dyDescent="0.45">
      <c r="A91" s="28" t="s">
        <v>871</v>
      </c>
      <c r="B91" s="28" t="s">
        <v>258</v>
      </c>
      <c r="C91" s="28" t="s">
        <v>259</v>
      </c>
      <c r="D91" s="28" t="s">
        <v>265</v>
      </c>
      <c r="E91" s="32" t="s">
        <v>385</v>
      </c>
      <c r="F91" s="28" t="s">
        <v>872</v>
      </c>
      <c r="G91" s="28" t="s">
        <v>187</v>
      </c>
      <c r="H91" s="28" t="s">
        <v>318</v>
      </c>
      <c r="I91" s="28" t="s">
        <v>319</v>
      </c>
      <c r="J91" s="28" t="s">
        <v>320</v>
      </c>
      <c r="K91" s="28" t="s">
        <v>873</v>
      </c>
      <c r="L91" s="28" t="s">
        <v>874</v>
      </c>
      <c r="M91" s="28" t="s">
        <v>875</v>
      </c>
      <c r="N91" s="28" t="s">
        <v>869</v>
      </c>
      <c r="O91" s="28" t="s">
        <v>876</v>
      </c>
      <c r="P91" s="28" t="s">
        <v>834</v>
      </c>
    </row>
    <row r="92" spans="1:16" ht="52.5" x14ac:dyDescent="0.45">
      <c r="A92" s="28" t="s">
        <v>877</v>
      </c>
      <c r="B92" s="28" t="s">
        <v>258</v>
      </c>
      <c r="C92" s="28" t="s">
        <v>259</v>
      </c>
      <c r="D92" s="28" t="s">
        <v>265</v>
      </c>
      <c r="E92" s="31" t="s">
        <v>340</v>
      </c>
      <c r="F92" s="28" t="s">
        <v>878</v>
      </c>
      <c r="G92" s="28" t="s">
        <v>187</v>
      </c>
      <c r="H92" s="28" t="s">
        <v>318</v>
      </c>
      <c r="I92" s="28" t="s">
        <v>319</v>
      </c>
      <c r="J92" s="28" t="s">
        <v>320</v>
      </c>
      <c r="K92" s="28" t="s">
        <v>879</v>
      </c>
      <c r="L92" s="28" t="s">
        <v>880</v>
      </c>
      <c r="M92" s="28" t="s">
        <v>881</v>
      </c>
      <c r="N92" s="28" t="s">
        <v>869</v>
      </c>
      <c r="O92" s="28" t="s">
        <v>882</v>
      </c>
      <c r="P92" s="28" t="s">
        <v>834</v>
      </c>
    </row>
    <row r="93" spans="1:16" ht="35" x14ac:dyDescent="0.45">
      <c r="A93" s="28" t="s">
        <v>883</v>
      </c>
      <c r="B93" s="28" t="s">
        <v>258</v>
      </c>
      <c r="C93" s="28" t="s">
        <v>259</v>
      </c>
      <c r="D93" s="28" t="s">
        <v>265</v>
      </c>
      <c r="E93" s="29" t="s">
        <v>289</v>
      </c>
      <c r="F93" s="28" t="s">
        <v>884</v>
      </c>
      <c r="G93" s="28" t="s">
        <v>291</v>
      </c>
      <c r="H93" s="28" t="s">
        <v>318</v>
      </c>
      <c r="I93" s="28" t="s">
        <v>397</v>
      </c>
      <c r="J93" s="28" t="s">
        <v>320</v>
      </c>
      <c r="K93" s="28" t="s">
        <v>885</v>
      </c>
      <c r="L93" s="28" t="s">
        <v>187</v>
      </c>
      <c r="M93" s="28" t="s">
        <v>886</v>
      </c>
      <c r="N93" s="28" t="s">
        <v>887</v>
      </c>
      <c r="O93" s="28" t="s">
        <v>888</v>
      </c>
      <c r="P93" s="28" t="s">
        <v>187</v>
      </c>
    </row>
    <row r="94" spans="1:16" ht="35" x14ac:dyDescent="0.45">
      <c r="A94" s="28" t="s">
        <v>889</v>
      </c>
      <c r="B94" s="28" t="s">
        <v>258</v>
      </c>
      <c r="C94" s="28" t="s">
        <v>259</v>
      </c>
      <c r="D94" s="28" t="s">
        <v>265</v>
      </c>
      <c r="E94" s="30" t="s">
        <v>326</v>
      </c>
      <c r="F94" s="28" t="s">
        <v>890</v>
      </c>
      <c r="G94" s="28" t="s">
        <v>187</v>
      </c>
      <c r="H94" s="28" t="s">
        <v>318</v>
      </c>
      <c r="I94" s="28" t="s">
        <v>319</v>
      </c>
      <c r="J94" s="28" t="s">
        <v>320</v>
      </c>
      <c r="K94" s="28" t="s">
        <v>891</v>
      </c>
      <c r="L94" s="28" t="s">
        <v>892</v>
      </c>
      <c r="M94" s="28" t="s">
        <v>893</v>
      </c>
      <c r="N94" s="28" t="s">
        <v>894</v>
      </c>
      <c r="O94" s="28" t="s">
        <v>895</v>
      </c>
      <c r="P94" s="28" t="s">
        <v>896</v>
      </c>
    </row>
    <row r="95" spans="1:16" ht="35" x14ac:dyDescent="0.45">
      <c r="A95" s="28" t="s">
        <v>897</v>
      </c>
      <c r="B95" s="28" t="s">
        <v>258</v>
      </c>
      <c r="C95" s="28" t="s">
        <v>259</v>
      </c>
      <c r="D95" s="28" t="s">
        <v>265</v>
      </c>
      <c r="E95" s="32" t="s">
        <v>385</v>
      </c>
      <c r="F95" s="28" t="s">
        <v>890</v>
      </c>
      <c r="G95" s="28" t="s">
        <v>187</v>
      </c>
      <c r="H95" s="28" t="s">
        <v>318</v>
      </c>
      <c r="I95" s="28" t="s">
        <v>319</v>
      </c>
      <c r="J95" s="28" t="s">
        <v>320</v>
      </c>
      <c r="K95" s="28" t="s">
        <v>898</v>
      </c>
      <c r="L95" s="28" t="s">
        <v>187</v>
      </c>
      <c r="M95" s="28" t="s">
        <v>899</v>
      </c>
      <c r="N95" s="28" t="s">
        <v>900</v>
      </c>
      <c r="O95" s="28" t="s">
        <v>901</v>
      </c>
      <c r="P95" s="28" t="s">
        <v>896</v>
      </c>
    </row>
    <row r="96" spans="1:16" ht="35" x14ac:dyDescent="0.45">
      <c r="A96" s="28" t="s">
        <v>902</v>
      </c>
      <c r="B96" s="28" t="s">
        <v>258</v>
      </c>
      <c r="C96" s="28" t="s">
        <v>259</v>
      </c>
      <c r="D96" s="28" t="s">
        <v>265</v>
      </c>
      <c r="E96" s="30" t="s">
        <v>326</v>
      </c>
      <c r="F96" s="28" t="s">
        <v>903</v>
      </c>
      <c r="G96" s="28" t="s">
        <v>187</v>
      </c>
      <c r="H96" s="28" t="s">
        <v>318</v>
      </c>
      <c r="I96" s="28" t="s">
        <v>319</v>
      </c>
      <c r="J96" s="28" t="s">
        <v>320</v>
      </c>
      <c r="K96" s="28" t="s">
        <v>904</v>
      </c>
      <c r="L96" s="28" t="s">
        <v>905</v>
      </c>
      <c r="M96" s="28" t="s">
        <v>906</v>
      </c>
      <c r="N96" s="28" t="s">
        <v>907</v>
      </c>
      <c r="O96" s="28" t="s">
        <v>908</v>
      </c>
      <c r="P96" s="28" t="s">
        <v>187</v>
      </c>
    </row>
    <row r="97" spans="1:16" ht="35" x14ac:dyDescent="0.45">
      <c r="A97" s="28" t="s">
        <v>909</v>
      </c>
      <c r="B97" s="28" t="s">
        <v>258</v>
      </c>
      <c r="C97" s="28" t="s">
        <v>259</v>
      </c>
      <c r="D97" s="28" t="s">
        <v>265</v>
      </c>
      <c r="E97" s="30" t="s">
        <v>326</v>
      </c>
      <c r="F97" s="28" t="s">
        <v>910</v>
      </c>
      <c r="G97" s="28" t="s">
        <v>187</v>
      </c>
      <c r="H97" s="28" t="s">
        <v>318</v>
      </c>
      <c r="I97" s="28" t="s">
        <v>397</v>
      </c>
      <c r="J97" s="28" t="s">
        <v>320</v>
      </c>
      <c r="K97" s="28" t="s">
        <v>911</v>
      </c>
      <c r="L97" s="28" t="s">
        <v>912</v>
      </c>
      <c r="M97" s="28" t="s">
        <v>913</v>
      </c>
      <c r="N97" s="28" t="s">
        <v>914</v>
      </c>
      <c r="O97" s="28" t="s">
        <v>915</v>
      </c>
      <c r="P97" s="28" t="s">
        <v>187</v>
      </c>
    </row>
    <row r="98" spans="1:16" ht="35" x14ac:dyDescent="0.45">
      <c r="A98" s="28" t="s">
        <v>916</v>
      </c>
      <c r="B98" s="28" t="s">
        <v>258</v>
      </c>
      <c r="C98" s="28" t="s">
        <v>259</v>
      </c>
      <c r="D98" s="28" t="s">
        <v>265</v>
      </c>
      <c r="E98" s="29" t="s">
        <v>289</v>
      </c>
      <c r="F98" s="28" t="s">
        <v>910</v>
      </c>
      <c r="G98" s="28" t="s">
        <v>291</v>
      </c>
      <c r="H98" s="28" t="s">
        <v>318</v>
      </c>
      <c r="I98" s="28" t="s">
        <v>397</v>
      </c>
      <c r="J98" s="28" t="s">
        <v>320</v>
      </c>
      <c r="K98" s="28" t="s">
        <v>917</v>
      </c>
      <c r="L98" s="28" t="s">
        <v>187</v>
      </c>
      <c r="M98" s="28" t="s">
        <v>918</v>
      </c>
      <c r="N98" s="28" t="s">
        <v>919</v>
      </c>
      <c r="O98" s="28" t="s">
        <v>920</v>
      </c>
      <c r="P98" s="28" t="s">
        <v>187</v>
      </c>
    </row>
    <row r="99" spans="1:16" ht="35" x14ac:dyDescent="0.45">
      <c r="A99" s="28" t="s">
        <v>921</v>
      </c>
      <c r="B99" s="28" t="s">
        <v>258</v>
      </c>
      <c r="C99" s="28" t="s">
        <v>259</v>
      </c>
      <c r="D99" s="28" t="s">
        <v>265</v>
      </c>
      <c r="E99" s="30" t="s">
        <v>326</v>
      </c>
      <c r="F99" s="28" t="s">
        <v>922</v>
      </c>
      <c r="G99" s="28" t="s">
        <v>187</v>
      </c>
      <c r="H99" s="28" t="s">
        <v>318</v>
      </c>
      <c r="I99" s="28" t="s">
        <v>397</v>
      </c>
      <c r="J99" s="28" t="s">
        <v>320</v>
      </c>
      <c r="K99" s="28" t="s">
        <v>923</v>
      </c>
      <c r="L99" s="28" t="s">
        <v>924</v>
      </c>
      <c r="M99" s="28" t="s">
        <v>925</v>
      </c>
      <c r="N99" s="28" t="s">
        <v>926</v>
      </c>
      <c r="O99" s="28" t="s">
        <v>354</v>
      </c>
      <c r="P99" s="28" t="s">
        <v>187</v>
      </c>
    </row>
    <row r="100" spans="1:16" ht="35" x14ac:dyDescent="0.45">
      <c r="A100" s="28" t="s">
        <v>927</v>
      </c>
      <c r="B100" s="28" t="s">
        <v>258</v>
      </c>
      <c r="C100" s="28" t="s">
        <v>259</v>
      </c>
      <c r="D100" s="28" t="s">
        <v>265</v>
      </c>
      <c r="E100" s="30" t="s">
        <v>326</v>
      </c>
      <c r="F100" s="28" t="s">
        <v>928</v>
      </c>
      <c r="G100" s="28" t="s">
        <v>187</v>
      </c>
      <c r="H100" s="28" t="s">
        <v>318</v>
      </c>
      <c r="I100" s="28" t="s">
        <v>397</v>
      </c>
      <c r="J100" s="28" t="s">
        <v>320</v>
      </c>
      <c r="K100" s="28" t="s">
        <v>929</v>
      </c>
      <c r="L100" s="28" t="s">
        <v>930</v>
      </c>
      <c r="M100" s="28" t="s">
        <v>931</v>
      </c>
      <c r="N100" s="28" t="s">
        <v>408</v>
      </c>
      <c r="O100" s="28" t="s">
        <v>932</v>
      </c>
      <c r="P100" s="28" t="s">
        <v>187</v>
      </c>
    </row>
    <row r="101" spans="1:16" ht="35" x14ac:dyDescent="0.45">
      <c r="A101" s="28" t="s">
        <v>933</v>
      </c>
      <c r="B101" s="28" t="s">
        <v>258</v>
      </c>
      <c r="C101" s="28" t="s">
        <v>259</v>
      </c>
      <c r="D101" s="28" t="s">
        <v>265</v>
      </c>
      <c r="E101" s="32" t="s">
        <v>385</v>
      </c>
      <c r="F101" s="28" t="s">
        <v>928</v>
      </c>
      <c r="G101" s="28" t="s">
        <v>291</v>
      </c>
      <c r="H101" s="28" t="s">
        <v>318</v>
      </c>
      <c r="I101" s="28" t="s">
        <v>397</v>
      </c>
      <c r="J101" s="28" t="s">
        <v>320</v>
      </c>
      <c r="K101" s="28" t="s">
        <v>934</v>
      </c>
      <c r="L101" s="28" t="s">
        <v>935</v>
      </c>
      <c r="M101" s="28" t="s">
        <v>936</v>
      </c>
      <c r="N101" s="28" t="s">
        <v>937</v>
      </c>
      <c r="O101" s="28" t="s">
        <v>938</v>
      </c>
      <c r="P101" s="28" t="s">
        <v>187</v>
      </c>
    </row>
    <row r="102" spans="1:16" ht="35" x14ac:dyDescent="0.45">
      <c r="A102" s="28" t="s">
        <v>939</v>
      </c>
      <c r="B102" s="28" t="s">
        <v>258</v>
      </c>
      <c r="C102" s="28" t="s">
        <v>259</v>
      </c>
      <c r="D102" s="28" t="s">
        <v>265</v>
      </c>
      <c r="E102" s="32" t="s">
        <v>385</v>
      </c>
      <c r="F102" s="28" t="s">
        <v>940</v>
      </c>
      <c r="G102" s="28" t="s">
        <v>187</v>
      </c>
      <c r="H102" s="28" t="s">
        <v>318</v>
      </c>
      <c r="I102" s="28" t="s">
        <v>397</v>
      </c>
      <c r="J102" s="28" t="s">
        <v>320</v>
      </c>
      <c r="K102" s="28" t="s">
        <v>941</v>
      </c>
      <c r="L102" s="28" t="s">
        <v>942</v>
      </c>
      <c r="M102" s="28" t="s">
        <v>943</v>
      </c>
      <c r="N102" s="28" t="s">
        <v>937</v>
      </c>
      <c r="O102" s="28" t="s">
        <v>944</v>
      </c>
      <c r="P102" s="28" t="s">
        <v>187</v>
      </c>
    </row>
    <row r="103" spans="1:16" ht="35" x14ac:dyDescent="0.45">
      <c r="A103" s="28" t="s">
        <v>945</v>
      </c>
      <c r="B103" s="28" t="s">
        <v>258</v>
      </c>
      <c r="C103" s="28" t="s">
        <v>259</v>
      </c>
      <c r="D103" s="28" t="s">
        <v>265</v>
      </c>
      <c r="E103" s="32" t="s">
        <v>385</v>
      </c>
      <c r="F103" s="28" t="s">
        <v>946</v>
      </c>
      <c r="G103" s="28" t="s">
        <v>187</v>
      </c>
      <c r="H103" s="28" t="s">
        <v>318</v>
      </c>
      <c r="I103" s="28" t="s">
        <v>397</v>
      </c>
      <c r="J103" s="28" t="s">
        <v>320</v>
      </c>
      <c r="K103" s="28" t="s">
        <v>947</v>
      </c>
      <c r="L103" s="28" t="s">
        <v>948</v>
      </c>
      <c r="M103" s="28" t="s">
        <v>949</v>
      </c>
      <c r="N103" s="28" t="s">
        <v>937</v>
      </c>
      <c r="O103" s="28" t="s">
        <v>354</v>
      </c>
      <c r="P103" s="28" t="s">
        <v>187</v>
      </c>
    </row>
    <row r="104" spans="1:16" ht="35" x14ac:dyDescent="0.45">
      <c r="A104" s="28" t="s">
        <v>950</v>
      </c>
      <c r="B104" s="28" t="s">
        <v>258</v>
      </c>
      <c r="C104" s="28" t="s">
        <v>259</v>
      </c>
      <c r="D104" s="28" t="s">
        <v>265</v>
      </c>
      <c r="E104" s="30" t="s">
        <v>326</v>
      </c>
      <c r="F104" s="28" t="s">
        <v>951</v>
      </c>
      <c r="G104" s="28" t="s">
        <v>187</v>
      </c>
      <c r="H104" s="28" t="s">
        <v>318</v>
      </c>
      <c r="I104" s="28" t="s">
        <v>397</v>
      </c>
      <c r="J104" s="28" t="s">
        <v>320</v>
      </c>
      <c r="K104" s="28" t="s">
        <v>952</v>
      </c>
      <c r="L104" s="28" t="s">
        <v>953</v>
      </c>
      <c r="M104" s="28" t="s">
        <v>954</v>
      </c>
      <c r="N104" s="28" t="s">
        <v>408</v>
      </c>
      <c r="O104" s="28" t="s">
        <v>955</v>
      </c>
      <c r="P104" s="28" t="s">
        <v>846</v>
      </c>
    </row>
    <row r="105" spans="1:16" ht="35" x14ac:dyDescent="0.45">
      <c r="A105" s="28" t="s">
        <v>956</v>
      </c>
      <c r="B105" s="28" t="s">
        <v>258</v>
      </c>
      <c r="C105" s="28" t="s">
        <v>259</v>
      </c>
      <c r="D105" s="28" t="s">
        <v>265</v>
      </c>
      <c r="E105" s="32" t="s">
        <v>385</v>
      </c>
      <c r="F105" s="28" t="s">
        <v>957</v>
      </c>
      <c r="G105" s="28" t="s">
        <v>187</v>
      </c>
      <c r="H105" s="28" t="s">
        <v>318</v>
      </c>
      <c r="I105" s="28" t="s">
        <v>397</v>
      </c>
      <c r="J105" s="28" t="s">
        <v>320</v>
      </c>
      <c r="K105" s="28" t="s">
        <v>958</v>
      </c>
      <c r="L105" s="28" t="s">
        <v>959</v>
      </c>
      <c r="M105" s="28" t="s">
        <v>960</v>
      </c>
      <c r="N105" s="28" t="s">
        <v>937</v>
      </c>
      <c r="O105" s="28" t="s">
        <v>961</v>
      </c>
      <c r="P105" s="28" t="s">
        <v>846</v>
      </c>
    </row>
    <row r="106" spans="1:16" ht="36" x14ac:dyDescent="0.45">
      <c r="A106" s="28" t="s">
        <v>962</v>
      </c>
      <c r="B106" s="28" t="s">
        <v>258</v>
      </c>
      <c r="C106" s="28" t="s">
        <v>259</v>
      </c>
      <c r="D106" s="28" t="s">
        <v>265</v>
      </c>
      <c r="E106" s="31" t="s">
        <v>340</v>
      </c>
      <c r="F106" s="28" t="s">
        <v>963</v>
      </c>
      <c r="G106" s="28" t="s">
        <v>187</v>
      </c>
      <c r="H106" s="28" t="s">
        <v>318</v>
      </c>
      <c r="I106" s="28" t="s">
        <v>397</v>
      </c>
      <c r="J106" s="28" t="s">
        <v>320</v>
      </c>
      <c r="K106" s="28" t="s">
        <v>964</v>
      </c>
      <c r="L106" s="28" t="s">
        <v>965</v>
      </c>
      <c r="M106" s="28" t="s">
        <v>966</v>
      </c>
      <c r="N106" s="28" t="s">
        <v>937</v>
      </c>
      <c r="O106" s="28" t="s">
        <v>967</v>
      </c>
      <c r="P106" s="28" t="s">
        <v>846</v>
      </c>
    </row>
    <row r="107" spans="1:16" ht="35" x14ac:dyDescent="0.45">
      <c r="A107" s="28" t="s">
        <v>968</v>
      </c>
      <c r="B107" s="28" t="s">
        <v>258</v>
      </c>
      <c r="C107" s="28" t="s">
        <v>259</v>
      </c>
      <c r="D107" s="28" t="s">
        <v>265</v>
      </c>
      <c r="E107" s="30" t="s">
        <v>326</v>
      </c>
      <c r="F107" s="28" t="s">
        <v>969</v>
      </c>
      <c r="G107" s="28" t="s">
        <v>187</v>
      </c>
      <c r="H107" s="28" t="s">
        <v>318</v>
      </c>
      <c r="I107" s="28" t="s">
        <v>397</v>
      </c>
      <c r="J107" s="28" t="s">
        <v>320</v>
      </c>
      <c r="K107" s="28" t="s">
        <v>970</v>
      </c>
      <c r="L107" s="28" t="s">
        <v>971</v>
      </c>
      <c r="M107" s="28" t="s">
        <v>972</v>
      </c>
      <c r="N107" s="28" t="s">
        <v>408</v>
      </c>
      <c r="O107" s="28" t="s">
        <v>973</v>
      </c>
      <c r="P107" s="28" t="s">
        <v>187</v>
      </c>
    </row>
    <row r="108" spans="1:16" ht="87.5" x14ac:dyDescent="0.45">
      <c r="A108" s="28" t="s">
        <v>974</v>
      </c>
      <c r="B108" s="28" t="s">
        <v>258</v>
      </c>
      <c r="C108" s="28" t="s">
        <v>259</v>
      </c>
      <c r="D108" s="28" t="s">
        <v>265</v>
      </c>
      <c r="E108" s="30" t="s">
        <v>326</v>
      </c>
      <c r="F108" s="28" t="s">
        <v>975</v>
      </c>
      <c r="G108" s="28" t="s">
        <v>187</v>
      </c>
      <c r="H108" s="28" t="s">
        <v>318</v>
      </c>
      <c r="I108" s="28" t="s">
        <v>397</v>
      </c>
      <c r="J108" s="28" t="s">
        <v>320</v>
      </c>
      <c r="K108" s="28" t="s">
        <v>976</v>
      </c>
      <c r="L108" s="28" t="s">
        <v>977</v>
      </c>
      <c r="M108" s="28" t="s">
        <v>978</v>
      </c>
      <c r="N108" s="28" t="s">
        <v>852</v>
      </c>
      <c r="O108" s="28" t="s">
        <v>979</v>
      </c>
      <c r="P108" s="28" t="s">
        <v>854</v>
      </c>
    </row>
    <row r="109" spans="1:16" ht="35" x14ac:dyDescent="0.45">
      <c r="A109" s="28" t="s">
        <v>980</v>
      </c>
      <c r="B109" s="28" t="s">
        <v>258</v>
      </c>
      <c r="C109" s="28" t="s">
        <v>259</v>
      </c>
      <c r="D109" s="28" t="s">
        <v>265</v>
      </c>
      <c r="E109" s="29" t="s">
        <v>289</v>
      </c>
      <c r="F109" s="28" t="s">
        <v>981</v>
      </c>
      <c r="G109" s="28" t="s">
        <v>291</v>
      </c>
      <c r="H109" s="28" t="s">
        <v>318</v>
      </c>
      <c r="I109" s="28" t="s">
        <v>397</v>
      </c>
      <c r="J109" s="28" t="s">
        <v>320</v>
      </c>
      <c r="K109" s="28" t="s">
        <v>982</v>
      </c>
      <c r="L109" s="28" t="s">
        <v>983</v>
      </c>
      <c r="M109" s="28" t="s">
        <v>984</v>
      </c>
      <c r="N109" s="28" t="s">
        <v>822</v>
      </c>
      <c r="O109" s="28" t="s">
        <v>985</v>
      </c>
      <c r="P109" s="28" t="s">
        <v>187</v>
      </c>
    </row>
    <row r="110" spans="1:16" ht="87.5" x14ac:dyDescent="0.45">
      <c r="A110" s="28" t="s">
        <v>986</v>
      </c>
      <c r="B110" s="28" t="s">
        <v>207</v>
      </c>
      <c r="C110" s="28" t="s">
        <v>208</v>
      </c>
      <c r="D110" s="28" t="s">
        <v>987</v>
      </c>
      <c r="E110" s="30" t="s">
        <v>326</v>
      </c>
      <c r="F110" s="28" t="s">
        <v>988</v>
      </c>
      <c r="G110" s="28" t="s">
        <v>291</v>
      </c>
      <c r="H110" s="28" t="s">
        <v>570</v>
      </c>
      <c r="I110" s="28" t="s">
        <v>571</v>
      </c>
      <c r="J110" s="28" t="s">
        <v>989</v>
      </c>
      <c r="K110" s="28" t="s">
        <v>990</v>
      </c>
      <c r="L110" s="28" t="s">
        <v>991</v>
      </c>
      <c r="M110" s="28" t="s">
        <v>992</v>
      </c>
      <c r="N110" s="28" t="s">
        <v>993</v>
      </c>
      <c r="O110" s="28" t="s">
        <v>575</v>
      </c>
      <c r="P110" s="28" t="s">
        <v>187</v>
      </c>
    </row>
    <row r="111" spans="1:16" ht="87.5" x14ac:dyDescent="0.45">
      <c r="A111" s="28" t="s">
        <v>994</v>
      </c>
      <c r="B111" s="28" t="s">
        <v>207</v>
      </c>
      <c r="C111" s="28" t="s">
        <v>208</v>
      </c>
      <c r="D111" s="28" t="s">
        <v>987</v>
      </c>
      <c r="E111" s="30" t="s">
        <v>326</v>
      </c>
      <c r="F111" s="28" t="s">
        <v>995</v>
      </c>
      <c r="G111" s="28" t="s">
        <v>291</v>
      </c>
      <c r="H111" s="28" t="s">
        <v>570</v>
      </c>
      <c r="I111" s="28" t="s">
        <v>571</v>
      </c>
      <c r="J111" s="28" t="s">
        <v>989</v>
      </c>
      <c r="K111" s="28" t="s">
        <v>996</v>
      </c>
      <c r="L111" s="28" t="s">
        <v>997</v>
      </c>
      <c r="M111" s="28" t="s">
        <v>998</v>
      </c>
      <c r="N111" s="28" t="s">
        <v>408</v>
      </c>
      <c r="O111" s="28" t="s">
        <v>575</v>
      </c>
      <c r="P111" s="28" t="s">
        <v>187</v>
      </c>
    </row>
    <row r="112" spans="1:16" ht="52.5" x14ac:dyDescent="0.45">
      <c r="A112" s="28" t="s">
        <v>999</v>
      </c>
      <c r="B112" s="28" t="s">
        <v>207</v>
      </c>
      <c r="C112" s="28" t="s">
        <v>208</v>
      </c>
      <c r="D112" s="28" t="s">
        <v>1000</v>
      </c>
      <c r="E112" s="29" t="s">
        <v>289</v>
      </c>
      <c r="F112" s="28" t="s">
        <v>1001</v>
      </c>
      <c r="G112" s="28" t="s">
        <v>187</v>
      </c>
      <c r="H112" s="28" t="s">
        <v>318</v>
      </c>
      <c r="I112" s="28" t="s">
        <v>386</v>
      </c>
      <c r="J112" s="28" t="s">
        <v>320</v>
      </c>
      <c r="K112" s="28" t="s">
        <v>1002</v>
      </c>
      <c r="L112" s="28" t="s">
        <v>1003</v>
      </c>
      <c r="M112" s="28" t="s">
        <v>1004</v>
      </c>
      <c r="N112" s="28" t="s">
        <v>1005</v>
      </c>
      <c r="O112" s="28" t="s">
        <v>1006</v>
      </c>
      <c r="P112" s="28" t="s">
        <v>1007</v>
      </c>
    </row>
    <row r="113" spans="1:16" ht="35" x14ac:dyDescent="0.45">
      <c r="A113" s="28" t="s">
        <v>1008</v>
      </c>
      <c r="B113" s="28" t="s">
        <v>207</v>
      </c>
      <c r="C113" s="28" t="s">
        <v>208</v>
      </c>
      <c r="D113" s="28" t="s">
        <v>1000</v>
      </c>
      <c r="E113" s="32" t="s">
        <v>385</v>
      </c>
      <c r="F113" s="28" t="s">
        <v>1009</v>
      </c>
      <c r="G113" s="28" t="s">
        <v>291</v>
      </c>
      <c r="H113" s="28" t="s">
        <v>318</v>
      </c>
      <c r="I113" s="28" t="s">
        <v>386</v>
      </c>
      <c r="J113" s="28" t="s">
        <v>320</v>
      </c>
      <c r="K113" s="28" t="s">
        <v>1010</v>
      </c>
      <c r="L113" s="28" t="s">
        <v>1011</v>
      </c>
      <c r="M113" s="28" t="s">
        <v>1012</v>
      </c>
      <c r="N113" s="28" t="s">
        <v>1013</v>
      </c>
      <c r="O113" s="28" t="s">
        <v>1014</v>
      </c>
      <c r="P113" s="28" t="s">
        <v>1007</v>
      </c>
    </row>
    <row r="114" spans="1:16" ht="35" x14ac:dyDescent="0.45">
      <c r="A114" s="28" t="s">
        <v>1015</v>
      </c>
      <c r="B114" s="28" t="s">
        <v>207</v>
      </c>
      <c r="C114" s="28" t="s">
        <v>208</v>
      </c>
      <c r="D114" s="28" t="s">
        <v>1000</v>
      </c>
      <c r="E114" s="30" t="s">
        <v>326</v>
      </c>
      <c r="F114" s="28" t="s">
        <v>1016</v>
      </c>
      <c r="G114" s="28" t="s">
        <v>187</v>
      </c>
      <c r="H114" s="28" t="s">
        <v>318</v>
      </c>
      <c r="I114" s="28" t="s">
        <v>386</v>
      </c>
      <c r="J114" s="28" t="s">
        <v>320</v>
      </c>
      <c r="K114" s="28" t="s">
        <v>1017</v>
      </c>
      <c r="L114" s="28" t="s">
        <v>1018</v>
      </c>
      <c r="M114" s="28" t="s">
        <v>1019</v>
      </c>
      <c r="N114" s="28" t="s">
        <v>1020</v>
      </c>
      <c r="O114" s="28" t="s">
        <v>1021</v>
      </c>
      <c r="P114" s="28" t="s">
        <v>1007</v>
      </c>
    </row>
    <row r="115" spans="1:16" ht="35" x14ac:dyDescent="0.45">
      <c r="A115" s="28" t="s">
        <v>1022</v>
      </c>
      <c r="B115" s="28" t="s">
        <v>207</v>
      </c>
      <c r="C115" s="28" t="s">
        <v>208</v>
      </c>
      <c r="D115" s="28" t="s">
        <v>1000</v>
      </c>
      <c r="E115" s="30" t="s">
        <v>326</v>
      </c>
      <c r="F115" s="28" t="s">
        <v>1023</v>
      </c>
      <c r="G115" s="28" t="s">
        <v>187</v>
      </c>
      <c r="H115" s="28" t="s">
        <v>318</v>
      </c>
      <c r="I115" s="28" t="s">
        <v>1024</v>
      </c>
      <c r="J115" s="28" t="s">
        <v>320</v>
      </c>
      <c r="K115" s="28" t="s">
        <v>1025</v>
      </c>
      <c r="L115" s="28" t="s">
        <v>1026</v>
      </c>
      <c r="M115" s="28" t="s">
        <v>1027</v>
      </c>
      <c r="N115" s="28" t="s">
        <v>1028</v>
      </c>
      <c r="O115" s="28" t="s">
        <v>1029</v>
      </c>
      <c r="P115" s="28" t="s">
        <v>1030</v>
      </c>
    </row>
    <row r="116" spans="1:16" ht="87.5" x14ac:dyDescent="0.45">
      <c r="A116" s="28" t="s">
        <v>1031</v>
      </c>
      <c r="B116" s="28" t="s">
        <v>207</v>
      </c>
      <c r="C116" s="28" t="s">
        <v>208</v>
      </c>
      <c r="D116" s="28" t="s">
        <v>1032</v>
      </c>
      <c r="E116" s="30" t="s">
        <v>326</v>
      </c>
      <c r="F116" s="28" t="s">
        <v>1033</v>
      </c>
      <c r="G116" s="28" t="s">
        <v>187</v>
      </c>
      <c r="H116" s="28" t="s">
        <v>570</v>
      </c>
      <c r="I116" s="28" t="s">
        <v>571</v>
      </c>
      <c r="J116" s="28" t="s">
        <v>989</v>
      </c>
      <c r="K116" s="28" t="s">
        <v>1034</v>
      </c>
      <c r="L116" s="28" t="s">
        <v>187</v>
      </c>
      <c r="M116" s="28" t="s">
        <v>1035</v>
      </c>
      <c r="N116" s="28" t="s">
        <v>993</v>
      </c>
      <c r="O116" s="28" t="s">
        <v>575</v>
      </c>
      <c r="P116" s="28" t="s">
        <v>187</v>
      </c>
    </row>
    <row r="117" spans="1:16" ht="35" x14ac:dyDescent="0.45">
      <c r="A117" s="28" t="s">
        <v>1036</v>
      </c>
      <c r="B117" s="28" t="s">
        <v>207</v>
      </c>
      <c r="C117" s="28" t="s">
        <v>208</v>
      </c>
      <c r="D117" s="28" t="s">
        <v>1032</v>
      </c>
      <c r="E117" s="30" t="s">
        <v>326</v>
      </c>
      <c r="F117" s="28" t="s">
        <v>1037</v>
      </c>
      <c r="G117" s="28" t="s">
        <v>187</v>
      </c>
      <c r="H117" s="28" t="s">
        <v>318</v>
      </c>
      <c r="I117" s="28" t="s">
        <v>319</v>
      </c>
      <c r="J117" s="28" t="s">
        <v>320</v>
      </c>
      <c r="K117" s="28" t="s">
        <v>1038</v>
      </c>
      <c r="L117" s="28" t="s">
        <v>1039</v>
      </c>
      <c r="M117" s="28" t="s">
        <v>1040</v>
      </c>
      <c r="N117" s="28" t="s">
        <v>1041</v>
      </c>
      <c r="O117" s="28" t="s">
        <v>354</v>
      </c>
      <c r="P117" s="28" t="s">
        <v>187</v>
      </c>
    </row>
    <row r="118" spans="1:16" ht="105" x14ac:dyDescent="0.45">
      <c r="A118" s="28" t="s">
        <v>1042</v>
      </c>
      <c r="B118" s="28" t="s">
        <v>207</v>
      </c>
      <c r="C118" s="28" t="s">
        <v>208</v>
      </c>
      <c r="D118" s="28" t="s">
        <v>1032</v>
      </c>
      <c r="E118" s="30" t="s">
        <v>326</v>
      </c>
      <c r="F118" s="28" t="s">
        <v>1043</v>
      </c>
      <c r="G118" s="28" t="s">
        <v>187</v>
      </c>
      <c r="H118" s="28" t="s">
        <v>318</v>
      </c>
      <c r="I118" s="28" t="s">
        <v>1024</v>
      </c>
      <c r="J118" s="28" t="s">
        <v>320</v>
      </c>
      <c r="K118" s="28" t="s">
        <v>1044</v>
      </c>
      <c r="L118" s="28" t="s">
        <v>1045</v>
      </c>
      <c r="M118" s="28" t="s">
        <v>1046</v>
      </c>
      <c r="N118" s="28" t="s">
        <v>408</v>
      </c>
      <c r="O118" s="28" t="s">
        <v>1047</v>
      </c>
      <c r="P118" s="28" t="s">
        <v>1048</v>
      </c>
    </row>
    <row r="119" spans="1:16" ht="70" x14ac:dyDescent="0.45">
      <c r="A119" s="28" t="s">
        <v>1049</v>
      </c>
      <c r="B119" s="28" t="s">
        <v>207</v>
      </c>
      <c r="C119" s="28" t="s">
        <v>208</v>
      </c>
      <c r="D119" s="28" t="s">
        <v>1032</v>
      </c>
      <c r="E119" s="30" t="s">
        <v>326</v>
      </c>
      <c r="F119" s="28" t="s">
        <v>1050</v>
      </c>
      <c r="G119" s="28" t="s">
        <v>187</v>
      </c>
      <c r="H119" s="28" t="s">
        <v>318</v>
      </c>
      <c r="I119" s="28" t="s">
        <v>1024</v>
      </c>
      <c r="J119" s="28" t="s">
        <v>320</v>
      </c>
      <c r="K119" s="28" t="s">
        <v>1051</v>
      </c>
      <c r="L119" s="28" t="s">
        <v>187</v>
      </c>
      <c r="M119" s="28" t="s">
        <v>1052</v>
      </c>
      <c r="N119" s="28" t="s">
        <v>408</v>
      </c>
      <c r="O119" s="28" t="s">
        <v>1053</v>
      </c>
      <c r="P119" s="28" t="s">
        <v>1054</v>
      </c>
    </row>
    <row r="120" spans="1:16" ht="35" x14ac:dyDescent="0.45">
      <c r="A120" s="28" t="s">
        <v>1055</v>
      </c>
      <c r="B120" s="28" t="s">
        <v>207</v>
      </c>
      <c r="C120" s="28" t="s">
        <v>208</v>
      </c>
      <c r="D120" s="28" t="s">
        <v>1032</v>
      </c>
      <c r="E120" s="30" t="s">
        <v>326</v>
      </c>
      <c r="F120" s="28" t="s">
        <v>1056</v>
      </c>
      <c r="G120" s="28" t="s">
        <v>187</v>
      </c>
      <c r="H120" s="28" t="s">
        <v>318</v>
      </c>
      <c r="I120" s="28" t="s">
        <v>1057</v>
      </c>
      <c r="J120" s="28" t="s">
        <v>320</v>
      </c>
      <c r="K120" s="28" t="s">
        <v>1058</v>
      </c>
      <c r="L120" s="28" t="s">
        <v>1059</v>
      </c>
      <c r="M120" s="28" t="s">
        <v>1060</v>
      </c>
      <c r="N120" s="28" t="s">
        <v>408</v>
      </c>
      <c r="O120" s="28" t="s">
        <v>1061</v>
      </c>
      <c r="P120" s="28" t="s">
        <v>1062</v>
      </c>
    </row>
    <row r="121" spans="1:16" ht="35" x14ac:dyDescent="0.45">
      <c r="A121" s="28" t="s">
        <v>1063</v>
      </c>
      <c r="B121" s="28" t="s">
        <v>207</v>
      </c>
      <c r="C121" s="28" t="s">
        <v>208</v>
      </c>
      <c r="D121" s="28" t="s">
        <v>1032</v>
      </c>
      <c r="E121" s="30" t="s">
        <v>326</v>
      </c>
      <c r="F121" s="28" t="s">
        <v>1064</v>
      </c>
      <c r="G121" s="28" t="s">
        <v>187</v>
      </c>
      <c r="H121" s="28" t="s">
        <v>318</v>
      </c>
      <c r="I121" s="28" t="s">
        <v>1057</v>
      </c>
      <c r="J121" s="28" t="s">
        <v>320</v>
      </c>
      <c r="K121" s="28" t="s">
        <v>1065</v>
      </c>
      <c r="L121" s="28" t="s">
        <v>1066</v>
      </c>
      <c r="M121" s="28" t="s">
        <v>1067</v>
      </c>
      <c r="N121" s="28" t="s">
        <v>1068</v>
      </c>
      <c r="O121" s="28" t="s">
        <v>1069</v>
      </c>
      <c r="P121" s="28" t="s">
        <v>1070</v>
      </c>
    </row>
    <row r="122" spans="1:16" ht="105" x14ac:dyDescent="0.45">
      <c r="A122" s="28" t="s">
        <v>1071</v>
      </c>
      <c r="B122" s="28" t="s">
        <v>207</v>
      </c>
      <c r="C122" s="28" t="s">
        <v>208</v>
      </c>
      <c r="D122" s="28" t="s">
        <v>1032</v>
      </c>
      <c r="E122" s="30" t="s">
        <v>326</v>
      </c>
      <c r="F122" s="28" t="s">
        <v>1072</v>
      </c>
      <c r="G122" s="28" t="s">
        <v>187</v>
      </c>
      <c r="H122" s="28" t="s">
        <v>318</v>
      </c>
      <c r="I122" s="28" t="s">
        <v>386</v>
      </c>
      <c r="J122" s="28" t="s">
        <v>320</v>
      </c>
      <c r="K122" s="28" t="s">
        <v>1073</v>
      </c>
      <c r="L122" s="28" t="s">
        <v>1074</v>
      </c>
      <c r="M122" s="28" t="s">
        <v>1075</v>
      </c>
      <c r="N122" s="28" t="s">
        <v>408</v>
      </c>
      <c r="O122" s="28" t="s">
        <v>1076</v>
      </c>
      <c r="P122" s="28" t="s">
        <v>1077</v>
      </c>
    </row>
    <row r="123" spans="1:16" ht="35" x14ac:dyDescent="0.45">
      <c r="A123" s="28" t="s">
        <v>1078</v>
      </c>
      <c r="B123" s="28" t="s">
        <v>207</v>
      </c>
      <c r="C123" s="28" t="s">
        <v>208</v>
      </c>
      <c r="D123" s="28" t="s">
        <v>1032</v>
      </c>
      <c r="E123" s="30" t="s">
        <v>326</v>
      </c>
      <c r="F123" s="28" t="s">
        <v>1079</v>
      </c>
      <c r="G123" s="28" t="s">
        <v>187</v>
      </c>
      <c r="H123" s="28" t="s">
        <v>318</v>
      </c>
      <c r="I123" s="28" t="s">
        <v>386</v>
      </c>
      <c r="J123" s="28" t="s">
        <v>320</v>
      </c>
      <c r="K123" s="28" t="s">
        <v>1080</v>
      </c>
      <c r="L123" s="28" t="s">
        <v>1081</v>
      </c>
      <c r="M123" s="28" t="s">
        <v>1082</v>
      </c>
      <c r="N123" s="28" t="s">
        <v>408</v>
      </c>
      <c r="O123" s="28" t="s">
        <v>1083</v>
      </c>
      <c r="P123" s="28" t="s">
        <v>1084</v>
      </c>
    </row>
    <row r="124" spans="1:16" ht="175" x14ac:dyDescent="0.45">
      <c r="A124" s="28" t="s">
        <v>1085</v>
      </c>
      <c r="B124" s="28" t="s">
        <v>207</v>
      </c>
      <c r="C124" s="28" t="s">
        <v>208</v>
      </c>
      <c r="D124" s="28" t="s">
        <v>1032</v>
      </c>
      <c r="E124" s="29" t="s">
        <v>289</v>
      </c>
      <c r="F124" s="28" t="s">
        <v>1086</v>
      </c>
      <c r="G124" s="28" t="s">
        <v>187</v>
      </c>
      <c r="H124" s="28" t="s">
        <v>318</v>
      </c>
      <c r="I124" s="28" t="s">
        <v>386</v>
      </c>
      <c r="J124" s="28" t="s">
        <v>320</v>
      </c>
      <c r="K124" s="28" t="s">
        <v>1087</v>
      </c>
      <c r="L124" s="28" t="s">
        <v>1088</v>
      </c>
      <c r="M124" s="28" t="s">
        <v>1089</v>
      </c>
      <c r="N124" s="28" t="s">
        <v>1090</v>
      </c>
      <c r="O124" s="28" t="s">
        <v>1091</v>
      </c>
      <c r="P124" s="28" t="s">
        <v>643</v>
      </c>
    </row>
    <row r="125" spans="1:16" ht="70" x14ac:dyDescent="0.45">
      <c r="A125" s="28" t="s">
        <v>1092</v>
      </c>
      <c r="B125" s="28" t="s">
        <v>207</v>
      </c>
      <c r="C125" s="28" t="s">
        <v>208</v>
      </c>
      <c r="D125" s="28" t="s">
        <v>1032</v>
      </c>
      <c r="E125" s="29" t="s">
        <v>289</v>
      </c>
      <c r="F125" s="28" t="s">
        <v>1093</v>
      </c>
      <c r="G125" s="28" t="s">
        <v>187</v>
      </c>
      <c r="H125" s="28" t="s">
        <v>318</v>
      </c>
      <c r="I125" s="28" t="s">
        <v>386</v>
      </c>
      <c r="J125" s="28" t="s">
        <v>320</v>
      </c>
      <c r="K125" s="28" t="s">
        <v>1094</v>
      </c>
      <c r="L125" s="28" t="s">
        <v>1095</v>
      </c>
      <c r="M125" s="28" t="s">
        <v>1096</v>
      </c>
      <c r="N125" s="28" t="s">
        <v>1097</v>
      </c>
      <c r="O125" s="28" t="s">
        <v>1098</v>
      </c>
      <c r="P125" s="28" t="s">
        <v>643</v>
      </c>
    </row>
    <row r="126" spans="1:16" ht="52.5" x14ac:dyDescent="0.45">
      <c r="A126" s="28" t="s">
        <v>1099</v>
      </c>
      <c r="B126" s="28" t="s">
        <v>207</v>
      </c>
      <c r="C126" s="28" t="s">
        <v>208</v>
      </c>
      <c r="D126" s="28" t="s">
        <v>1032</v>
      </c>
      <c r="E126" s="32" t="s">
        <v>385</v>
      </c>
      <c r="F126" s="28" t="s">
        <v>1100</v>
      </c>
      <c r="G126" s="28" t="s">
        <v>187</v>
      </c>
      <c r="H126" s="28" t="s">
        <v>318</v>
      </c>
      <c r="I126" s="28" t="s">
        <v>386</v>
      </c>
      <c r="J126" s="28" t="s">
        <v>320</v>
      </c>
      <c r="K126" s="28" t="s">
        <v>1101</v>
      </c>
      <c r="L126" s="28" t="s">
        <v>1102</v>
      </c>
      <c r="M126" s="28" t="s">
        <v>1103</v>
      </c>
      <c r="N126" s="28" t="s">
        <v>1104</v>
      </c>
      <c r="O126" s="28" t="s">
        <v>1105</v>
      </c>
      <c r="P126" s="28" t="s">
        <v>1084</v>
      </c>
    </row>
    <row r="127" spans="1:16" ht="52.5" x14ac:dyDescent="0.45">
      <c r="A127" s="28" t="s">
        <v>1106</v>
      </c>
      <c r="B127" s="28" t="s">
        <v>207</v>
      </c>
      <c r="C127" s="28" t="s">
        <v>208</v>
      </c>
      <c r="D127" s="28" t="s">
        <v>1032</v>
      </c>
      <c r="E127" s="32" t="s">
        <v>385</v>
      </c>
      <c r="F127" s="28" t="s">
        <v>1107</v>
      </c>
      <c r="G127" s="28" t="s">
        <v>187</v>
      </c>
      <c r="H127" s="28" t="s">
        <v>318</v>
      </c>
      <c r="I127" s="28" t="s">
        <v>1057</v>
      </c>
      <c r="J127" s="28" t="s">
        <v>320</v>
      </c>
      <c r="K127" s="28" t="s">
        <v>1108</v>
      </c>
      <c r="L127" s="28" t="s">
        <v>1109</v>
      </c>
      <c r="M127" s="28" t="s">
        <v>1110</v>
      </c>
      <c r="N127" s="28" t="s">
        <v>1111</v>
      </c>
      <c r="O127" s="28" t="s">
        <v>1112</v>
      </c>
      <c r="P127" s="28" t="s">
        <v>1113</v>
      </c>
    </row>
    <row r="128" spans="1:16" ht="52.5" x14ac:dyDescent="0.45">
      <c r="A128" s="28" t="s">
        <v>1114</v>
      </c>
      <c r="B128" s="28" t="s">
        <v>207</v>
      </c>
      <c r="C128" s="28" t="s">
        <v>208</v>
      </c>
      <c r="D128" s="28" t="s">
        <v>1032</v>
      </c>
      <c r="E128" s="32" t="s">
        <v>385</v>
      </c>
      <c r="F128" s="28" t="s">
        <v>1115</v>
      </c>
      <c r="G128" s="28" t="s">
        <v>187</v>
      </c>
      <c r="H128" s="28" t="s">
        <v>318</v>
      </c>
      <c r="I128" s="28" t="s">
        <v>1057</v>
      </c>
      <c r="J128" s="28" t="s">
        <v>320</v>
      </c>
      <c r="K128" s="28" t="s">
        <v>1116</v>
      </c>
      <c r="L128" s="28" t="s">
        <v>1117</v>
      </c>
      <c r="M128" s="28" t="s">
        <v>1118</v>
      </c>
      <c r="N128" s="28" t="s">
        <v>1119</v>
      </c>
      <c r="O128" s="28" t="s">
        <v>1120</v>
      </c>
      <c r="P128" s="28" t="s">
        <v>1113</v>
      </c>
    </row>
    <row r="129" spans="1:16" ht="52.5" x14ac:dyDescent="0.45">
      <c r="A129" s="28" t="s">
        <v>1121</v>
      </c>
      <c r="B129" s="28" t="s">
        <v>207</v>
      </c>
      <c r="C129" s="28" t="s">
        <v>208</v>
      </c>
      <c r="D129" s="28" t="s">
        <v>1032</v>
      </c>
      <c r="E129" s="30" t="s">
        <v>326</v>
      </c>
      <c r="F129" s="28" t="s">
        <v>1122</v>
      </c>
      <c r="G129" s="28" t="s">
        <v>187</v>
      </c>
      <c r="H129" s="28" t="s">
        <v>318</v>
      </c>
      <c r="I129" s="28" t="s">
        <v>1123</v>
      </c>
      <c r="J129" s="28" t="s">
        <v>320</v>
      </c>
      <c r="K129" s="28" t="s">
        <v>1124</v>
      </c>
      <c r="L129" s="28" t="s">
        <v>1125</v>
      </c>
      <c r="M129" s="28" t="s">
        <v>1126</v>
      </c>
      <c r="N129" s="28" t="s">
        <v>1127</v>
      </c>
      <c r="O129" s="28" t="s">
        <v>1128</v>
      </c>
      <c r="P129" s="28" t="s">
        <v>187</v>
      </c>
    </row>
    <row r="130" spans="1:16" ht="87.5" x14ac:dyDescent="0.45">
      <c r="A130" s="28" t="s">
        <v>1129</v>
      </c>
      <c r="B130" s="28" t="s">
        <v>207</v>
      </c>
      <c r="C130" s="28" t="s">
        <v>208</v>
      </c>
      <c r="D130" s="28" t="s">
        <v>1032</v>
      </c>
      <c r="E130" s="30" t="s">
        <v>326</v>
      </c>
      <c r="F130" s="28" t="s">
        <v>1130</v>
      </c>
      <c r="G130" s="28" t="s">
        <v>187</v>
      </c>
      <c r="H130" s="28" t="s">
        <v>318</v>
      </c>
      <c r="I130" s="28" t="s">
        <v>1123</v>
      </c>
      <c r="J130" s="28" t="s">
        <v>320</v>
      </c>
      <c r="K130" s="28" t="s">
        <v>1131</v>
      </c>
      <c r="L130" s="28" t="s">
        <v>187</v>
      </c>
      <c r="M130" s="28" t="s">
        <v>1132</v>
      </c>
      <c r="N130" s="28" t="s">
        <v>1133</v>
      </c>
      <c r="O130" s="28" t="s">
        <v>1134</v>
      </c>
      <c r="P130" s="28" t="s">
        <v>1135</v>
      </c>
    </row>
    <row r="131" spans="1:16" ht="87.5" x14ac:dyDescent="0.45">
      <c r="A131" s="28" t="s">
        <v>1136</v>
      </c>
      <c r="B131" s="28" t="s">
        <v>207</v>
      </c>
      <c r="C131" s="28" t="s">
        <v>208</v>
      </c>
      <c r="D131" s="28" t="s">
        <v>1137</v>
      </c>
      <c r="E131" s="30" t="s">
        <v>326</v>
      </c>
      <c r="F131" s="28" t="s">
        <v>1138</v>
      </c>
      <c r="G131" s="28" t="s">
        <v>187</v>
      </c>
      <c r="H131" s="28" t="s">
        <v>292</v>
      </c>
      <c r="I131" s="28" t="s">
        <v>293</v>
      </c>
      <c r="J131" s="28" t="s">
        <v>294</v>
      </c>
      <c r="K131" s="28" t="s">
        <v>1139</v>
      </c>
      <c r="L131" s="28" t="s">
        <v>1140</v>
      </c>
      <c r="M131" s="28" t="s">
        <v>1141</v>
      </c>
      <c r="N131" s="28" t="s">
        <v>1142</v>
      </c>
      <c r="O131" s="28" t="s">
        <v>1143</v>
      </c>
      <c r="P131" s="28" t="s">
        <v>1144</v>
      </c>
    </row>
    <row r="132" spans="1:16" ht="35" x14ac:dyDescent="0.45">
      <c r="A132" s="28" t="s">
        <v>1145</v>
      </c>
      <c r="B132" s="28" t="s">
        <v>207</v>
      </c>
      <c r="C132" s="28" t="s">
        <v>208</v>
      </c>
      <c r="D132" s="28" t="s">
        <v>1137</v>
      </c>
      <c r="E132" s="30" t="s">
        <v>326</v>
      </c>
      <c r="F132" s="28" t="s">
        <v>1146</v>
      </c>
      <c r="G132" s="28" t="s">
        <v>187</v>
      </c>
      <c r="H132" s="28" t="s">
        <v>292</v>
      </c>
      <c r="I132" s="28" t="s">
        <v>293</v>
      </c>
      <c r="J132" s="28" t="s">
        <v>294</v>
      </c>
      <c r="K132" s="28" t="s">
        <v>1147</v>
      </c>
      <c r="L132" s="28" t="s">
        <v>1148</v>
      </c>
      <c r="M132" s="28" t="s">
        <v>1149</v>
      </c>
      <c r="N132" s="28" t="s">
        <v>1150</v>
      </c>
      <c r="O132" s="28" t="s">
        <v>1151</v>
      </c>
      <c r="P132" s="28" t="s">
        <v>1152</v>
      </c>
    </row>
    <row r="133" spans="1:16" ht="52.5" x14ac:dyDescent="0.45">
      <c r="A133" s="28" t="s">
        <v>1153</v>
      </c>
      <c r="B133" s="28" t="s">
        <v>207</v>
      </c>
      <c r="C133" s="28" t="s">
        <v>208</v>
      </c>
      <c r="D133" s="28" t="s">
        <v>1137</v>
      </c>
      <c r="E133" s="30" t="s">
        <v>326</v>
      </c>
      <c r="F133" s="28" t="s">
        <v>1154</v>
      </c>
      <c r="G133" s="28" t="s">
        <v>187</v>
      </c>
      <c r="H133" s="28" t="s">
        <v>292</v>
      </c>
      <c r="I133" s="28" t="s">
        <v>1155</v>
      </c>
      <c r="J133" s="28" t="s">
        <v>349</v>
      </c>
      <c r="K133" s="28" t="s">
        <v>1156</v>
      </c>
      <c r="L133" s="28" t="s">
        <v>1157</v>
      </c>
      <c r="M133" s="28" t="s">
        <v>1158</v>
      </c>
      <c r="N133" s="28" t="s">
        <v>1159</v>
      </c>
      <c r="O133" s="28" t="s">
        <v>1160</v>
      </c>
      <c r="P133" s="28" t="s">
        <v>1161</v>
      </c>
    </row>
    <row r="134" spans="1:16" ht="87.5" x14ac:dyDescent="0.45">
      <c r="A134" s="28" t="s">
        <v>1162</v>
      </c>
      <c r="B134" s="28" t="s">
        <v>207</v>
      </c>
      <c r="C134" s="28" t="s">
        <v>208</v>
      </c>
      <c r="D134" s="28" t="s">
        <v>1137</v>
      </c>
      <c r="E134" s="30" t="s">
        <v>326</v>
      </c>
      <c r="F134" s="28" t="s">
        <v>1163</v>
      </c>
      <c r="G134" s="28" t="s">
        <v>187</v>
      </c>
      <c r="H134" s="28" t="s">
        <v>292</v>
      </c>
      <c r="I134" s="28" t="s">
        <v>293</v>
      </c>
      <c r="J134" s="28" t="s">
        <v>294</v>
      </c>
      <c r="K134" s="28" t="s">
        <v>1164</v>
      </c>
      <c r="L134" s="28" t="s">
        <v>187</v>
      </c>
      <c r="M134" s="28" t="s">
        <v>1165</v>
      </c>
      <c r="N134" s="28" t="s">
        <v>1142</v>
      </c>
      <c r="O134" s="28" t="s">
        <v>1166</v>
      </c>
      <c r="P134" s="28" t="s">
        <v>1167</v>
      </c>
    </row>
    <row r="135" spans="1:16" ht="70" x14ac:dyDescent="0.45">
      <c r="A135" s="28" t="s">
        <v>1168</v>
      </c>
      <c r="B135" s="28" t="s">
        <v>207</v>
      </c>
      <c r="C135" s="28" t="s">
        <v>208</v>
      </c>
      <c r="D135" s="28" t="s">
        <v>1137</v>
      </c>
      <c r="E135" s="29" t="s">
        <v>289</v>
      </c>
      <c r="F135" s="28" t="s">
        <v>1138</v>
      </c>
      <c r="G135" s="28" t="s">
        <v>291</v>
      </c>
      <c r="H135" s="28" t="s">
        <v>318</v>
      </c>
      <c r="I135" s="28" t="s">
        <v>397</v>
      </c>
      <c r="J135" s="28" t="s">
        <v>320</v>
      </c>
      <c r="K135" s="28" t="s">
        <v>1169</v>
      </c>
      <c r="L135" s="28" t="s">
        <v>1170</v>
      </c>
      <c r="M135" s="28" t="s">
        <v>1171</v>
      </c>
      <c r="N135" s="28" t="s">
        <v>1172</v>
      </c>
      <c r="O135" s="28" t="s">
        <v>1173</v>
      </c>
      <c r="P135" s="28" t="s">
        <v>1174</v>
      </c>
    </row>
    <row r="136" spans="1:16" ht="70" x14ac:dyDescent="0.45">
      <c r="A136" s="28" t="s">
        <v>1175</v>
      </c>
      <c r="B136" s="28" t="s">
        <v>207</v>
      </c>
      <c r="C136" s="28" t="s">
        <v>208</v>
      </c>
      <c r="D136" s="28" t="s">
        <v>1137</v>
      </c>
      <c r="E136" s="32" t="s">
        <v>385</v>
      </c>
      <c r="F136" s="28" t="s">
        <v>1163</v>
      </c>
      <c r="G136" s="28" t="s">
        <v>291</v>
      </c>
      <c r="H136" s="28" t="s">
        <v>318</v>
      </c>
      <c r="I136" s="28" t="s">
        <v>397</v>
      </c>
      <c r="J136" s="28" t="s">
        <v>320</v>
      </c>
      <c r="K136" s="28" t="s">
        <v>1176</v>
      </c>
      <c r="L136" s="28" t="s">
        <v>1177</v>
      </c>
      <c r="M136" s="28" t="s">
        <v>1178</v>
      </c>
      <c r="N136" s="28" t="s">
        <v>1179</v>
      </c>
      <c r="O136" s="28" t="s">
        <v>1180</v>
      </c>
      <c r="P136" s="28" t="s">
        <v>1181</v>
      </c>
    </row>
    <row r="137" spans="1:16" ht="52.5" x14ac:dyDescent="0.45">
      <c r="A137" s="28" t="s">
        <v>1182</v>
      </c>
      <c r="B137" s="28" t="s">
        <v>207</v>
      </c>
      <c r="C137" s="28" t="s">
        <v>208</v>
      </c>
      <c r="D137" s="28" t="s">
        <v>1137</v>
      </c>
      <c r="E137" s="32" t="s">
        <v>385</v>
      </c>
      <c r="F137" s="28" t="s">
        <v>1183</v>
      </c>
      <c r="G137" s="28" t="s">
        <v>291</v>
      </c>
      <c r="H137" s="28" t="s">
        <v>318</v>
      </c>
      <c r="I137" s="28" t="s">
        <v>397</v>
      </c>
      <c r="J137" s="28" t="s">
        <v>320</v>
      </c>
      <c r="K137" s="28" t="s">
        <v>1184</v>
      </c>
      <c r="L137" s="28" t="s">
        <v>1185</v>
      </c>
      <c r="M137" s="28" t="s">
        <v>1186</v>
      </c>
      <c r="N137" s="28" t="s">
        <v>1187</v>
      </c>
      <c r="O137" s="28" t="s">
        <v>1188</v>
      </c>
      <c r="P137" s="28" t="s">
        <v>1189</v>
      </c>
    </row>
    <row r="138" spans="1:16" ht="36" x14ac:dyDescent="0.45">
      <c r="A138" s="28" t="s">
        <v>1190</v>
      </c>
      <c r="B138" s="28" t="s">
        <v>207</v>
      </c>
      <c r="C138" s="28" t="s">
        <v>208</v>
      </c>
      <c r="D138" s="28" t="s">
        <v>1137</v>
      </c>
      <c r="E138" s="31" t="s">
        <v>340</v>
      </c>
      <c r="F138" s="28" t="s">
        <v>1163</v>
      </c>
      <c r="G138" s="28" t="s">
        <v>187</v>
      </c>
      <c r="H138" s="28" t="s">
        <v>318</v>
      </c>
      <c r="I138" s="28" t="s">
        <v>397</v>
      </c>
      <c r="J138" s="28" t="s">
        <v>320</v>
      </c>
      <c r="K138" s="28" t="s">
        <v>1191</v>
      </c>
      <c r="L138" s="28" t="s">
        <v>187</v>
      </c>
      <c r="M138" s="28" t="s">
        <v>1192</v>
      </c>
      <c r="N138" s="28" t="s">
        <v>1193</v>
      </c>
      <c r="O138" s="28" t="s">
        <v>1194</v>
      </c>
      <c r="P138" s="28" t="s">
        <v>1189</v>
      </c>
    </row>
    <row r="139" spans="1:16" ht="140" x14ac:dyDescent="0.45">
      <c r="A139" s="28" t="s">
        <v>1195</v>
      </c>
      <c r="B139" s="28" t="s">
        <v>207</v>
      </c>
      <c r="C139" s="28" t="s">
        <v>208</v>
      </c>
      <c r="D139" s="28" t="s">
        <v>1137</v>
      </c>
      <c r="E139" s="30" t="s">
        <v>326</v>
      </c>
      <c r="F139" s="28" t="s">
        <v>1196</v>
      </c>
      <c r="G139" s="28" t="s">
        <v>187</v>
      </c>
      <c r="H139" s="28" t="s">
        <v>318</v>
      </c>
      <c r="I139" s="28" t="s">
        <v>397</v>
      </c>
      <c r="J139" s="28" t="s">
        <v>320</v>
      </c>
      <c r="K139" s="28" t="s">
        <v>1197</v>
      </c>
      <c r="L139" s="28" t="s">
        <v>1198</v>
      </c>
      <c r="M139" s="28" t="s">
        <v>1199</v>
      </c>
      <c r="N139" s="28" t="s">
        <v>408</v>
      </c>
      <c r="O139" s="28" t="s">
        <v>1200</v>
      </c>
      <c r="P139" s="28" t="s">
        <v>1201</v>
      </c>
    </row>
    <row r="140" spans="1:16" ht="35" x14ac:dyDescent="0.45">
      <c r="A140" s="28" t="s">
        <v>1202</v>
      </c>
      <c r="B140" s="28" t="s">
        <v>207</v>
      </c>
      <c r="C140" s="28" t="s">
        <v>208</v>
      </c>
      <c r="D140" s="28" t="s">
        <v>1137</v>
      </c>
      <c r="E140" s="30" t="s">
        <v>326</v>
      </c>
      <c r="F140" s="28" t="s">
        <v>1203</v>
      </c>
      <c r="G140" s="28" t="s">
        <v>187</v>
      </c>
      <c r="H140" s="28" t="s">
        <v>318</v>
      </c>
      <c r="I140" s="28" t="s">
        <v>397</v>
      </c>
      <c r="J140" s="28" t="s">
        <v>320</v>
      </c>
      <c r="K140" s="28" t="s">
        <v>1204</v>
      </c>
      <c r="L140" s="28" t="s">
        <v>1205</v>
      </c>
      <c r="M140" s="28" t="s">
        <v>1206</v>
      </c>
      <c r="N140" s="28" t="s">
        <v>1159</v>
      </c>
      <c r="O140" s="28" t="s">
        <v>1207</v>
      </c>
      <c r="P140" s="28" t="s">
        <v>1208</v>
      </c>
    </row>
    <row r="141" spans="1:16" ht="52.5" x14ac:dyDescent="0.45">
      <c r="A141" s="28" t="s">
        <v>1209</v>
      </c>
      <c r="B141" s="28" t="s">
        <v>207</v>
      </c>
      <c r="C141" s="28" t="s">
        <v>208</v>
      </c>
      <c r="D141" s="28" t="s">
        <v>1137</v>
      </c>
      <c r="E141" s="30" t="s">
        <v>326</v>
      </c>
      <c r="F141" s="28" t="s">
        <v>1210</v>
      </c>
      <c r="G141" s="28" t="s">
        <v>187</v>
      </c>
      <c r="H141" s="28" t="s">
        <v>318</v>
      </c>
      <c r="I141" s="28" t="s">
        <v>397</v>
      </c>
      <c r="J141" s="28" t="s">
        <v>320</v>
      </c>
      <c r="K141" s="28" t="s">
        <v>1211</v>
      </c>
      <c r="L141" s="28" t="s">
        <v>187</v>
      </c>
      <c r="M141" s="28" t="s">
        <v>1212</v>
      </c>
      <c r="N141" s="28" t="s">
        <v>408</v>
      </c>
      <c r="O141" s="28" t="s">
        <v>1213</v>
      </c>
      <c r="P141" s="28" t="s">
        <v>1214</v>
      </c>
    </row>
    <row r="142" spans="1:16" ht="35" x14ac:dyDescent="0.45">
      <c r="A142" s="28" t="s">
        <v>1215</v>
      </c>
      <c r="B142" s="28" t="s">
        <v>207</v>
      </c>
      <c r="C142" s="28" t="s">
        <v>208</v>
      </c>
      <c r="D142" s="28" t="s">
        <v>1137</v>
      </c>
      <c r="E142" s="30" t="s">
        <v>326</v>
      </c>
      <c r="F142" s="28" t="s">
        <v>1216</v>
      </c>
      <c r="G142" s="28" t="s">
        <v>187</v>
      </c>
      <c r="H142" s="28" t="s">
        <v>318</v>
      </c>
      <c r="I142" s="28" t="s">
        <v>397</v>
      </c>
      <c r="J142" s="28" t="s">
        <v>320</v>
      </c>
      <c r="K142" s="28" t="s">
        <v>1217</v>
      </c>
      <c r="L142" s="28" t="s">
        <v>187</v>
      </c>
      <c r="M142" s="28" t="s">
        <v>1218</v>
      </c>
      <c r="N142" s="28" t="s">
        <v>1219</v>
      </c>
      <c r="O142" s="28" t="s">
        <v>1220</v>
      </c>
      <c r="P142" s="28" t="s">
        <v>1221</v>
      </c>
    </row>
    <row r="143" spans="1:16" ht="70" x14ac:dyDescent="0.45">
      <c r="A143" s="28" t="s">
        <v>1222</v>
      </c>
      <c r="B143" s="28" t="s">
        <v>207</v>
      </c>
      <c r="C143" s="28" t="s">
        <v>208</v>
      </c>
      <c r="D143" s="28" t="s">
        <v>1137</v>
      </c>
      <c r="E143" s="32" t="s">
        <v>385</v>
      </c>
      <c r="F143" s="28" t="s">
        <v>1223</v>
      </c>
      <c r="G143" s="28" t="s">
        <v>291</v>
      </c>
      <c r="H143" s="28" t="s">
        <v>318</v>
      </c>
      <c r="I143" s="28" t="s">
        <v>397</v>
      </c>
      <c r="J143" s="28" t="s">
        <v>320</v>
      </c>
      <c r="K143" s="28" t="s">
        <v>1224</v>
      </c>
      <c r="L143" s="28" t="s">
        <v>1225</v>
      </c>
      <c r="M143" s="28" t="s">
        <v>1226</v>
      </c>
      <c r="N143" s="28" t="s">
        <v>1227</v>
      </c>
      <c r="O143" s="28" t="s">
        <v>1228</v>
      </c>
      <c r="P143" s="28" t="s">
        <v>1221</v>
      </c>
    </row>
    <row r="144" spans="1:16" ht="87.5" x14ac:dyDescent="0.45">
      <c r="A144" s="28" t="s">
        <v>1229</v>
      </c>
      <c r="B144" s="28" t="s">
        <v>207</v>
      </c>
      <c r="C144" s="28" t="s">
        <v>208</v>
      </c>
      <c r="D144" s="28" t="s">
        <v>1137</v>
      </c>
      <c r="E144" s="30" t="s">
        <v>326</v>
      </c>
      <c r="F144" s="28" t="s">
        <v>1230</v>
      </c>
      <c r="G144" s="28" t="s">
        <v>187</v>
      </c>
      <c r="H144" s="28" t="s">
        <v>570</v>
      </c>
      <c r="I144" s="28" t="s">
        <v>571</v>
      </c>
      <c r="J144" s="28" t="s">
        <v>989</v>
      </c>
      <c r="K144" s="28" t="s">
        <v>1231</v>
      </c>
      <c r="L144" s="28" t="s">
        <v>1232</v>
      </c>
      <c r="M144" s="28" t="s">
        <v>1233</v>
      </c>
      <c r="N144" s="28" t="s">
        <v>408</v>
      </c>
      <c r="O144" s="28" t="s">
        <v>575</v>
      </c>
      <c r="P144" s="28" t="s">
        <v>187</v>
      </c>
    </row>
    <row r="145" spans="1:16" ht="87.5" x14ac:dyDescent="0.45">
      <c r="A145" s="28" t="s">
        <v>1234</v>
      </c>
      <c r="B145" s="28" t="s">
        <v>207</v>
      </c>
      <c r="C145" s="28" t="s">
        <v>208</v>
      </c>
      <c r="D145" s="28" t="s">
        <v>1137</v>
      </c>
      <c r="E145" s="30" t="s">
        <v>326</v>
      </c>
      <c r="F145" s="28" t="s">
        <v>1235</v>
      </c>
      <c r="G145" s="28" t="s">
        <v>187</v>
      </c>
      <c r="H145" s="28" t="s">
        <v>570</v>
      </c>
      <c r="I145" s="28" t="s">
        <v>571</v>
      </c>
      <c r="J145" s="28" t="s">
        <v>989</v>
      </c>
      <c r="K145" s="28" t="s">
        <v>1236</v>
      </c>
      <c r="L145" s="28" t="s">
        <v>1237</v>
      </c>
      <c r="M145" s="28" t="s">
        <v>1238</v>
      </c>
      <c r="N145" s="28" t="s">
        <v>408</v>
      </c>
      <c r="O145" s="28" t="s">
        <v>575</v>
      </c>
      <c r="P145" s="28" t="s">
        <v>187</v>
      </c>
    </row>
    <row r="146" spans="1:16" ht="87.5" x14ac:dyDescent="0.45">
      <c r="A146" s="28" t="s">
        <v>1239</v>
      </c>
      <c r="B146" s="28" t="s">
        <v>207</v>
      </c>
      <c r="C146" s="28" t="s">
        <v>208</v>
      </c>
      <c r="D146" s="28" t="s">
        <v>1137</v>
      </c>
      <c r="E146" s="30" t="s">
        <v>326</v>
      </c>
      <c r="F146" s="28" t="s">
        <v>1240</v>
      </c>
      <c r="G146" s="28" t="s">
        <v>187</v>
      </c>
      <c r="H146" s="28" t="s">
        <v>570</v>
      </c>
      <c r="I146" s="28" t="s">
        <v>571</v>
      </c>
      <c r="J146" s="28" t="s">
        <v>989</v>
      </c>
      <c r="K146" s="28" t="s">
        <v>1241</v>
      </c>
      <c r="L146" s="28" t="s">
        <v>187</v>
      </c>
      <c r="M146" s="28" t="s">
        <v>1242</v>
      </c>
      <c r="N146" s="28" t="s">
        <v>408</v>
      </c>
      <c r="O146" s="28" t="s">
        <v>575</v>
      </c>
      <c r="P146" s="28" t="s">
        <v>187</v>
      </c>
    </row>
    <row r="147" spans="1:16" ht="87.5" x14ac:dyDescent="0.45">
      <c r="A147" s="28" t="s">
        <v>1243</v>
      </c>
      <c r="B147" s="28" t="s">
        <v>207</v>
      </c>
      <c r="C147" s="28" t="s">
        <v>208</v>
      </c>
      <c r="D147" s="28" t="s">
        <v>1137</v>
      </c>
      <c r="E147" s="29" t="s">
        <v>289</v>
      </c>
      <c r="F147" s="28" t="s">
        <v>1244</v>
      </c>
      <c r="G147" s="28" t="s">
        <v>291</v>
      </c>
      <c r="H147" s="28" t="s">
        <v>570</v>
      </c>
      <c r="I147" s="28" t="s">
        <v>571</v>
      </c>
      <c r="J147" s="28" t="s">
        <v>989</v>
      </c>
      <c r="K147" s="28" t="s">
        <v>1245</v>
      </c>
      <c r="L147" s="28" t="s">
        <v>187</v>
      </c>
      <c r="M147" s="28" t="s">
        <v>1246</v>
      </c>
      <c r="N147" s="28" t="s">
        <v>1247</v>
      </c>
      <c r="O147" s="28" t="s">
        <v>575</v>
      </c>
      <c r="P147" s="28" t="s">
        <v>187</v>
      </c>
    </row>
    <row r="148" spans="1:16" ht="87.5" x14ac:dyDescent="0.45">
      <c r="A148" s="28" t="s">
        <v>1248</v>
      </c>
      <c r="B148" s="28" t="s">
        <v>232</v>
      </c>
      <c r="C148" s="28" t="s">
        <v>233</v>
      </c>
      <c r="D148" s="28" t="s">
        <v>1249</v>
      </c>
      <c r="E148" s="29" t="s">
        <v>289</v>
      </c>
      <c r="F148" s="28" t="s">
        <v>1250</v>
      </c>
      <c r="G148" s="28" t="s">
        <v>291</v>
      </c>
      <c r="H148" s="28" t="s">
        <v>318</v>
      </c>
      <c r="I148" s="28" t="s">
        <v>397</v>
      </c>
      <c r="J148" s="28" t="s">
        <v>320</v>
      </c>
      <c r="K148" s="28" t="s">
        <v>1251</v>
      </c>
      <c r="L148" s="28" t="s">
        <v>1252</v>
      </c>
      <c r="M148" s="28" t="s">
        <v>1253</v>
      </c>
      <c r="N148" s="28" t="s">
        <v>1254</v>
      </c>
      <c r="O148" s="28" t="s">
        <v>354</v>
      </c>
      <c r="P148" s="28" t="s">
        <v>187</v>
      </c>
    </row>
    <row r="149" spans="1:16" ht="35" x14ac:dyDescent="0.45">
      <c r="A149" s="28" t="s">
        <v>1255</v>
      </c>
      <c r="B149" s="28" t="s">
        <v>232</v>
      </c>
      <c r="C149" s="28" t="s">
        <v>233</v>
      </c>
      <c r="D149" s="28" t="s">
        <v>1256</v>
      </c>
      <c r="E149" s="29" t="s">
        <v>289</v>
      </c>
      <c r="F149" s="28" t="s">
        <v>1257</v>
      </c>
      <c r="G149" s="28" t="s">
        <v>291</v>
      </c>
      <c r="H149" s="28" t="s">
        <v>318</v>
      </c>
      <c r="I149" s="28" t="s">
        <v>397</v>
      </c>
      <c r="J149" s="28" t="s">
        <v>320</v>
      </c>
      <c r="K149" s="28" t="s">
        <v>1258</v>
      </c>
      <c r="L149" s="28" t="s">
        <v>1259</v>
      </c>
      <c r="M149" s="28" t="s">
        <v>1260</v>
      </c>
      <c r="N149" s="28" t="s">
        <v>1261</v>
      </c>
      <c r="O149" s="28" t="s">
        <v>354</v>
      </c>
      <c r="P149" s="28" t="s">
        <v>187</v>
      </c>
    </row>
    <row r="150" spans="1:16" ht="122.5" x14ac:dyDescent="0.45">
      <c r="A150" s="28" t="s">
        <v>1262</v>
      </c>
      <c r="B150" s="28" t="s">
        <v>232</v>
      </c>
      <c r="C150" s="28" t="s">
        <v>233</v>
      </c>
      <c r="D150" s="28" t="s">
        <v>1263</v>
      </c>
      <c r="E150" s="30" t="s">
        <v>326</v>
      </c>
      <c r="F150" s="28" t="s">
        <v>1264</v>
      </c>
      <c r="G150" s="28" t="s">
        <v>291</v>
      </c>
      <c r="H150" s="28" t="s">
        <v>318</v>
      </c>
      <c r="I150" s="28" t="s">
        <v>405</v>
      </c>
      <c r="J150" s="28" t="s">
        <v>320</v>
      </c>
      <c r="K150" s="28" t="s">
        <v>1265</v>
      </c>
      <c r="L150" s="28" t="s">
        <v>1266</v>
      </c>
      <c r="M150" s="28" t="s">
        <v>1267</v>
      </c>
      <c r="N150" s="28" t="s">
        <v>1268</v>
      </c>
      <c r="O150" s="28" t="s">
        <v>1269</v>
      </c>
      <c r="P150" s="28" t="s">
        <v>1270</v>
      </c>
    </row>
    <row r="151" spans="1:16" ht="192.5" x14ac:dyDescent="0.45">
      <c r="A151" s="28" t="s">
        <v>1271</v>
      </c>
      <c r="B151" s="28" t="s">
        <v>232</v>
      </c>
      <c r="C151" s="28" t="s">
        <v>233</v>
      </c>
      <c r="D151" s="28" t="s">
        <v>1263</v>
      </c>
      <c r="E151" s="30" t="s">
        <v>326</v>
      </c>
      <c r="F151" s="28" t="s">
        <v>1272</v>
      </c>
      <c r="G151" s="28" t="s">
        <v>291</v>
      </c>
      <c r="H151" s="28" t="s">
        <v>318</v>
      </c>
      <c r="I151" s="28" t="s">
        <v>1273</v>
      </c>
      <c r="J151" s="28" t="s">
        <v>320</v>
      </c>
      <c r="K151" s="28" t="s">
        <v>1274</v>
      </c>
      <c r="L151" s="28" t="s">
        <v>1275</v>
      </c>
      <c r="M151" s="28" t="s">
        <v>1276</v>
      </c>
      <c r="N151" s="28" t="s">
        <v>408</v>
      </c>
      <c r="O151" s="28" t="s">
        <v>1277</v>
      </c>
      <c r="P151" s="28" t="s">
        <v>1278</v>
      </c>
    </row>
    <row r="152" spans="1:16" ht="140" x14ac:dyDescent="0.45">
      <c r="A152" s="28" t="s">
        <v>1279</v>
      </c>
      <c r="B152" s="28" t="s">
        <v>232</v>
      </c>
      <c r="C152" s="28" t="s">
        <v>233</v>
      </c>
      <c r="D152" s="28" t="s">
        <v>1263</v>
      </c>
      <c r="E152" s="30" t="s">
        <v>326</v>
      </c>
      <c r="F152" s="28" t="s">
        <v>1280</v>
      </c>
      <c r="G152" s="28" t="s">
        <v>291</v>
      </c>
      <c r="H152" s="28" t="s">
        <v>318</v>
      </c>
      <c r="I152" s="28" t="s">
        <v>405</v>
      </c>
      <c r="J152" s="28" t="s">
        <v>320</v>
      </c>
      <c r="K152" s="28" t="s">
        <v>1281</v>
      </c>
      <c r="L152" s="28" t="s">
        <v>187</v>
      </c>
      <c r="M152" s="28" t="s">
        <v>1282</v>
      </c>
      <c r="N152" s="28" t="s">
        <v>408</v>
      </c>
      <c r="O152" s="28" t="s">
        <v>1283</v>
      </c>
      <c r="P152" s="28" t="s">
        <v>1284</v>
      </c>
    </row>
    <row r="153" spans="1:16" ht="35" x14ac:dyDescent="0.45">
      <c r="A153" s="28" t="s">
        <v>1285</v>
      </c>
      <c r="B153" s="28" t="s">
        <v>232</v>
      </c>
      <c r="C153" s="28" t="s">
        <v>233</v>
      </c>
      <c r="D153" s="28" t="s">
        <v>1263</v>
      </c>
      <c r="E153" s="29" t="s">
        <v>289</v>
      </c>
      <c r="F153" s="28" t="s">
        <v>1264</v>
      </c>
      <c r="G153" s="28" t="s">
        <v>291</v>
      </c>
      <c r="H153" s="28" t="s">
        <v>318</v>
      </c>
      <c r="I153" s="28" t="s">
        <v>397</v>
      </c>
      <c r="J153" s="28" t="s">
        <v>320</v>
      </c>
      <c r="K153" s="28" t="s">
        <v>1286</v>
      </c>
      <c r="L153" s="28" t="s">
        <v>1287</v>
      </c>
      <c r="M153" s="28" t="s">
        <v>1288</v>
      </c>
      <c r="N153" s="28" t="s">
        <v>1289</v>
      </c>
      <c r="O153" s="28" t="s">
        <v>1290</v>
      </c>
      <c r="P153" s="28" t="s">
        <v>1291</v>
      </c>
    </row>
    <row r="154" spans="1:16" ht="35" x14ac:dyDescent="0.45">
      <c r="A154" s="28" t="s">
        <v>1292</v>
      </c>
      <c r="B154" s="28" t="s">
        <v>232</v>
      </c>
      <c r="C154" s="28" t="s">
        <v>233</v>
      </c>
      <c r="D154" s="28" t="s">
        <v>1263</v>
      </c>
      <c r="E154" s="32" t="s">
        <v>385</v>
      </c>
      <c r="F154" s="28" t="s">
        <v>1280</v>
      </c>
      <c r="G154" s="28" t="s">
        <v>291</v>
      </c>
      <c r="H154" s="28" t="s">
        <v>318</v>
      </c>
      <c r="I154" s="28" t="s">
        <v>397</v>
      </c>
      <c r="J154" s="28" t="s">
        <v>320</v>
      </c>
      <c r="K154" s="28" t="s">
        <v>1293</v>
      </c>
      <c r="L154" s="28" t="s">
        <v>1294</v>
      </c>
      <c r="M154" s="28" t="s">
        <v>1295</v>
      </c>
      <c r="N154" s="28" t="s">
        <v>623</v>
      </c>
      <c r="O154" s="28" t="s">
        <v>1296</v>
      </c>
      <c r="P154" s="28" t="s">
        <v>1291</v>
      </c>
    </row>
    <row r="155" spans="1:16" ht="35" x14ac:dyDescent="0.45">
      <c r="A155" s="28" t="s">
        <v>1297</v>
      </c>
      <c r="B155" s="28" t="s">
        <v>232</v>
      </c>
      <c r="C155" s="28" t="s">
        <v>233</v>
      </c>
      <c r="D155" s="28" t="s">
        <v>1263</v>
      </c>
      <c r="E155" s="32" t="s">
        <v>385</v>
      </c>
      <c r="F155" s="28" t="s">
        <v>1298</v>
      </c>
      <c r="G155" s="28" t="s">
        <v>291</v>
      </c>
      <c r="H155" s="28" t="s">
        <v>318</v>
      </c>
      <c r="I155" s="28" t="s">
        <v>397</v>
      </c>
      <c r="J155" s="28" t="s">
        <v>320</v>
      </c>
      <c r="K155" s="28" t="s">
        <v>1299</v>
      </c>
      <c r="L155" s="28" t="s">
        <v>1300</v>
      </c>
      <c r="M155" s="28" t="s">
        <v>1301</v>
      </c>
      <c r="N155" s="28" t="s">
        <v>1302</v>
      </c>
      <c r="O155" s="28" t="s">
        <v>1303</v>
      </c>
      <c r="P155" s="28" t="s">
        <v>1291</v>
      </c>
    </row>
    <row r="156" spans="1:16" ht="36" x14ac:dyDescent="0.45">
      <c r="A156" s="28" t="s">
        <v>1304</v>
      </c>
      <c r="B156" s="28" t="s">
        <v>232</v>
      </c>
      <c r="C156" s="28" t="s">
        <v>233</v>
      </c>
      <c r="D156" s="28" t="s">
        <v>1263</v>
      </c>
      <c r="E156" s="31" t="s">
        <v>340</v>
      </c>
      <c r="F156" s="28" t="s">
        <v>1280</v>
      </c>
      <c r="G156" s="28" t="s">
        <v>187</v>
      </c>
      <c r="H156" s="28" t="s">
        <v>318</v>
      </c>
      <c r="I156" s="28" t="s">
        <v>397</v>
      </c>
      <c r="J156" s="28" t="s">
        <v>320</v>
      </c>
      <c r="K156" s="28" t="s">
        <v>1305</v>
      </c>
      <c r="L156" s="28" t="s">
        <v>1306</v>
      </c>
      <c r="M156" s="28" t="s">
        <v>1307</v>
      </c>
      <c r="N156" s="28" t="s">
        <v>1308</v>
      </c>
      <c r="O156" s="28" t="s">
        <v>1309</v>
      </c>
      <c r="P156" s="28" t="s">
        <v>1291</v>
      </c>
    </row>
    <row r="157" spans="1:16" ht="70" x14ac:dyDescent="0.45">
      <c r="A157" s="28" t="s">
        <v>1310</v>
      </c>
      <c r="B157" s="28" t="s">
        <v>232</v>
      </c>
      <c r="C157" s="28" t="s">
        <v>233</v>
      </c>
      <c r="D157" s="28" t="s">
        <v>1263</v>
      </c>
      <c r="E157" s="30" t="s">
        <v>326</v>
      </c>
      <c r="F157" s="28" t="s">
        <v>1311</v>
      </c>
      <c r="G157" s="28" t="s">
        <v>187</v>
      </c>
      <c r="H157" s="28" t="s">
        <v>570</v>
      </c>
      <c r="I157" s="28" t="s">
        <v>571</v>
      </c>
      <c r="J157" s="28" t="s">
        <v>572</v>
      </c>
      <c r="K157" s="28" t="s">
        <v>1312</v>
      </c>
      <c r="L157" s="28" t="s">
        <v>1313</v>
      </c>
      <c r="M157" s="28" t="s">
        <v>1314</v>
      </c>
      <c r="N157" s="28" t="s">
        <v>408</v>
      </c>
      <c r="O157" s="28" t="s">
        <v>575</v>
      </c>
      <c r="P157" s="28" t="s">
        <v>187</v>
      </c>
    </row>
    <row r="158" spans="1:16" ht="70" x14ac:dyDescent="0.45">
      <c r="A158" s="28" t="s">
        <v>1315</v>
      </c>
      <c r="B158" s="28" t="s">
        <v>232</v>
      </c>
      <c r="C158" s="28" t="s">
        <v>233</v>
      </c>
      <c r="D158" s="28" t="s">
        <v>1263</v>
      </c>
      <c r="E158" s="30" t="s">
        <v>326</v>
      </c>
      <c r="F158" s="28" t="s">
        <v>1316</v>
      </c>
      <c r="G158" s="28" t="s">
        <v>187</v>
      </c>
      <c r="H158" s="28" t="s">
        <v>570</v>
      </c>
      <c r="I158" s="28" t="s">
        <v>571</v>
      </c>
      <c r="J158" s="28" t="s">
        <v>572</v>
      </c>
      <c r="K158" s="28" t="s">
        <v>1317</v>
      </c>
      <c r="L158" s="28" t="s">
        <v>1318</v>
      </c>
      <c r="M158" s="28" t="s">
        <v>1319</v>
      </c>
      <c r="N158" s="28" t="s">
        <v>408</v>
      </c>
      <c r="O158" s="28" t="s">
        <v>575</v>
      </c>
      <c r="P158" s="28" t="s">
        <v>187</v>
      </c>
    </row>
    <row r="159" spans="1:16" ht="52.5" x14ac:dyDescent="0.45">
      <c r="A159" s="28" t="s">
        <v>1320</v>
      </c>
      <c r="B159" s="28" t="s">
        <v>232</v>
      </c>
      <c r="C159" s="28" t="s">
        <v>233</v>
      </c>
      <c r="D159" s="28" t="s">
        <v>1321</v>
      </c>
      <c r="E159" s="30" t="s">
        <v>326</v>
      </c>
      <c r="F159" s="28" t="s">
        <v>1322</v>
      </c>
      <c r="G159" s="28" t="s">
        <v>291</v>
      </c>
      <c r="H159" s="28" t="s">
        <v>318</v>
      </c>
      <c r="I159" s="28" t="s">
        <v>405</v>
      </c>
      <c r="J159" s="28" t="s">
        <v>320</v>
      </c>
      <c r="K159" s="28" t="s">
        <v>1323</v>
      </c>
      <c r="L159" s="28" t="s">
        <v>1324</v>
      </c>
      <c r="M159" s="28" t="s">
        <v>1325</v>
      </c>
      <c r="N159" s="28" t="s">
        <v>1326</v>
      </c>
      <c r="O159" s="28" t="s">
        <v>354</v>
      </c>
      <c r="P159" s="28" t="s">
        <v>187</v>
      </c>
    </row>
    <row r="160" spans="1:16" ht="52.5" x14ac:dyDescent="0.45">
      <c r="A160" s="28" t="s">
        <v>1327</v>
      </c>
      <c r="B160" s="28" t="s">
        <v>232</v>
      </c>
      <c r="C160" s="28" t="s">
        <v>233</v>
      </c>
      <c r="D160" s="28" t="s">
        <v>1321</v>
      </c>
      <c r="E160" s="30" t="s">
        <v>326</v>
      </c>
      <c r="F160" s="28" t="s">
        <v>1328</v>
      </c>
      <c r="G160" s="28" t="s">
        <v>291</v>
      </c>
      <c r="H160" s="28" t="s">
        <v>318</v>
      </c>
      <c r="I160" s="28" t="s">
        <v>405</v>
      </c>
      <c r="J160" s="28" t="s">
        <v>320</v>
      </c>
      <c r="K160" s="28" t="s">
        <v>1329</v>
      </c>
      <c r="L160" s="28" t="s">
        <v>1330</v>
      </c>
      <c r="M160" s="28" t="s">
        <v>1331</v>
      </c>
      <c r="N160" s="28" t="s">
        <v>1332</v>
      </c>
      <c r="O160" s="28" t="s">
        <v>354</v>
      </c>
      <c r="P160" s="28" t="s">
        <v>187</v>
      </c>
    </row>
    <row r="161" spans="1:16" ht="105" x14ac:dyDescent="0.45">
      <c r="A161" s="28" t="s">
        <v>1333</v>
      </c>
      <c r="B161" s="28" t="s">
        <v>232</v>
      </c>
      <c r="C161" s="28" t="s">
        <v>233</v>
      </c>
      <c r="D161" s="28" t="s">
        <v>1321</v>
      </c>
      <c r="E161" s="32" t="s">
        <v>385</v>
      </c>
      <c r="F161" s="28" t="s">
        <v>1334</v>
      </c>
      <c r="G161" s="28" t="s">
        <v>291</v>
      </c>
      <c r="H161" s="28" t="s">
        <v>318</v>
      </c>
      <c r="I161" s="28" t="s">
        <v>397</v>
      </c>
      <c r="J161" s="28" t="s">
        <v>320</v>
      </c>
      <c r="K161" s="28" t="s">
        <v>1335</v>
      </c>
      <c r="L161" s="28" t="s">
        <v>1336</v>
      </c>
      <c r="M161" s="28" t="s">
        <v>1337</v>
      </c>
      <c r="N161" s="28" t="s">
        <v>1338</v>
      </c>
      <c r="O161" s="28" t="s">
        <v>1339</v>
      </c>
      <c r="P161" s="28" t="s">
        <v>1208</v>
      </c>
    </row>
    <row r="162" spans="1:16" ht="70" x14ac:dyDescent="0.45">
      <c r="A162" s="28" t="s">
        <v>1340</v>
      </c>
      <c r="B162" s="28" t="s">
        <v>232</v>
      </c>
      <c r="C162" s="28" t="s">
        <v>233</v>
      </c>
      <c r="D162" s="28" t="s">
        <v>1321</v>
      </c>
      <c r="E162" s="30" t="s">
        <v>326</v>
      </c>
      <c r="F162" s="28" t="s">
        <v>1334</v>
      </c>
      <c r="G162" s="28" t="s">
        <v>291</v>
      </c>
      <c r="H162" s="28" t="s">
        <v>318</v>
      </c>
      <c r="I162" s="28" t="s">
        <v>1341</v>
      </c>
      <c r="J162" s="28" t="s">
        <v>320</v>
      </c>
      <c r="K162" s="28" t="s">
        <v>1342</v>
      </c>
      <c r="L162" s="28" t="s">
        <v>1343</v>
      </c>
      <c r="M162" s="28" t="s">
        <v>1344</v>
      </c>
      <c r="N162" s="28" t="s">
        <v>1345</v>
      </c>
      <c r="O162" s="28" t="s">
        <v>1346</v>
      </c>
      <c r="P162" s="28" t="s">
        <v>1208</v>
      </c>
    </row>
    <row r="163" spans="1:16" ht="70" x14ac:dyDescent="0.45">
      <c r="A163" s="28" t="s">
        <v>1347</v>
      </c>
      <c r="B163" s="28" t="s">
        <v>232</v>
      </c>
      <c r="C163" s="28" t="s">
        <v>233</v>
      </c>
      <c r="D163" s="28" t="s">
        <v>1321</v>
      </c>
      <c r="E163" s="30" t="s">
        <v>326</v>
      </c>
      <c r="F163" s="28" t="s">
        <v>1348</v>
      </c>
      <c r="G163" s="28" t="s">
        <v>291</v>
      </c>
      <c r="H163" s="28" t="s">
        <v>570</v>
      </c>
      <c r="I163" s="28" t="s">
        <v>571</v>
      </c>
      <c r="J163" s="28" t="s">
        <v>572</v>
      </c>
      <c r="K163" s="28" t="s">
        <v>1349</v>
      </c>
      <c r="L163" s="28" t="s">
        <v>1330</v>
      </c>
      <c r="M163" s="28" t="s">
        <v>1350</v>
      </c>
      <c r="N163" s="28" t="s">
        <v>408</v>
      </c>
      <c r="O163" s="28" t="s">
        <v>575</v>
      </c>
      <c r="P163" s="28" t="s">
        <v>187</v>
      </c>
    </row>
    <row r="164" spans="1:16" ht="52.5" x14ac:dyDescent="0.45">
      <c r="A164" s="28" t="s">
        <v>1351</v>
      </c>
      <c r="B164" s="28" t="s">
        <v>232</v>
      </c>
      <c r="C164" s="28" t="s">
        <v>233</v>
      </c>
      <c r="D164" s="28" t="s">
        <v>1352</v>
      </c>
      <c r="E164" s="30" t="s">
        <v>326</v>
      </c>
      <c r="F164" s="28" t="s">
        <v>1353</v>
      </c>
      <c r="G164" s="28" t="s">
        <v>291</v>
      </c>
      <c r="H164" s="28" t="s">
        <v>318</v>
      </c>
      <c r="I164" s="28" t="s">
        <v>405</v>
      </c>
      <c r="J164" s="28" t="s">
        <v>320</v>
      </c>
      <c r="K164" s="28" t="s">
        <v>1354</v>
      </c>
      <c r="L164" s="28" t="s">
        <v>1355</v>
      </c>
      <c r="M164" s="28" t="s">
        <v>1356</v>
      </c>
      <c r="N164" s="28" t="s">
        <v>1357</v>
      </c>
      <c r="O164" s="28" t="s">
        <v>354</v>
      </c>
      <c r="P164" s="28" t="s">
        <v>187</v>
      </c>
    </row>
    <row r="165" spans="1:16" ht="52.5" x14ac:dyDescent="0.45">
      <c r="A165" s="28" t="s">
        <v>1358</v>
      </c>
      <c r="B165" s="28" t="s">
        <v>232</v>
      </c>
      <c r="C165" s="28" t="s">
        <v>233</v>
      </c>
      <c r="D165" s="28" t="s">
        <v>1352</v>
      </c>
      <c r="E165" s="30" t="s">
        <v>326</v>
      </c>
      <c r="F165" s="28" t="s">
        <v>1359</v>
      </c>
      <c r="G165" s="28" t="s">
        <v>291</v>
      </c>
      <c r="H165" s="28" t="s">
        <v>318</v>
      </c>
      <c r="I165" s="28" t="s">
        <v>405</v>
      </c>
      <c r="J165" s="28" t="s">
        <v>320</v>
      </c>
      <c r="K165" s="28" t="s">
        <v>1360</v>
      </c>
      <c r="L165" s="28" t="s">
        <v>187</v>
      </c>
      <c r="M165" s="28" t="s">
        <v>1361</v>
      </c>
      <c r="N165" s="28" t="s">
        <v>408</v>
      </c>
      <c r="O165" s="28" t="s">
        <v>354</v>
      </c>
      <c r="P165" s="28" t="s">
        <v>187</v>
      </c>
    </row>
    <row r="166" spans="1:16" ht="52.5" x14ac:dyDescent="0.45">
      <c r="A166" s="28" t="s">
        <v>1362</v>
      </c>
      <c r="B166" s="28" t="s">
        <v>232</v>
      </c>
      <c r="C166" s="28" t="s">
        <v>233</v>
      </c>
      <c r="D166" s="28" t="s">
        <v>1352</v>
      </c>
      <c r="E166" s="29" t="s">
        <v>289</v>
      </c>
      <c r="F166" s="28" t="s">
        <v>1363</v>
      </c>
      <c r="G166" s="28" t="s">
        <v>187</v>
      </c>
      <c r="H166" s="28" t="s">
        <v>318</v>
      </c>
      <c r="I166" s="28" t="s">
        <v>397</v>
      </c>
      <c r="J166" s="28" t="s">
        <v>320</v>
      </c>
      <c r="K166" s="28" t="s">
        <v>1364</v>
      </c>
      <c r="L166" s="28" t="s">
        <v>1365</v>
      </c>
      <c r="M166" s="28" t="s">
        <v>1366</v>
      </c>
      <c r="N166" s="28" t="s">
        <v>1367</v>
      </c>
      <c r="O166" s="28" t="s">
        <v>354</v>
      </c>
      <c r="P166" s="28" t="s">
        <v>187</v>
      </c>
    </row>
    <row r="167" spans="1:16" ht="52.5" x14ac:dyDescent="0.45">
      <c r="A167" s="28" t="s">
        <v>1368</v>
      </c>
      <c r="B167" s="28" t="s">
        <v>232</v>
      </c>
      <c r="C167" s="28" t="s">
        <v>233</v>
      </c>
      <c r="D167" s="28" t="s">
        <v>1369</v>
      </c>
      <c r="E167" s="30" t="s">
        <v>326</v>
      </c>
      <c r="F167" s="28" t="s">
        <v>1370</v>
      </c>
      <c r="G167" s="28" t="s">
        <v>291</v>
      </c>
      <c r="H167" s="28" t="s">
        <v>318</v>
      </c>
      <c r="I167" s="28" t="s">
        <v>405</v>
      </c>
      <c r="J167" s="28" t="s">
        <v>320</v>
      </c>
      <c r="K167" s="28" t="s">
        <v>1371</v>
      </c>
      <c r="L167" s="28" t="s">
        <v>1372</v>
      </c>
      <c r="M167" s="28" t="s">
        <v>1373</v>
      </c>
      <c r="N167" s="28" t="s">
        <v>408</v>
      </c>
      <c r="O167" s="28" t="s">
        <v>354</v>
      </c>
      <c r="P167" s="28" t="s">
        <v>187</v>
      </c>
    </row>
    <row r="168" spans="1:16" ht="52.5" x14ac:dyDescent="0.45">
      <c r="A168" s="28" t="s">
        <v>1374</v>
      </c>
      <c r="B168" s="28" t="s">
        <v>232</v>
      </c>
      <c r="C168" s="28" t="s">
        <v>233</v>
      </c>
      <c r="D168" s="28" t="s">
        <v>1369</v>
      </c>
      <c r="E168" s="30" t="s">
        <v>326</v>
      </c>
      <c r="F168" s="28" t="s">
        <v>1375</v>
      </c>
      <c r="G168" s="28" t="s">
        <v>291</v>
      </c>
      <c r="H168" s="28" t="s">
        <v>318</v>
      </c>
      <c r="I168" s="28" t="s">
        <v>405</v>
      </c>
      <c r="J168" s="28" t="s">
        <v>320</v>
      </c>
      <c r="K168" s="28" t="s">
        <v>1376</v>
      </c>
      <c r="L168" s="28" t="s">
        <v>187</v>
      </c>
      <c r="M168" s="28" t="s">
        <v>1377</v>
      </c>
      <c r="N168" s="28" t="s">
        <v>408</v>
      </c>
      <c r="O168" s="28" t="s">
        <v>354</v>
      </c>
      <c r="P168" s="28" t="s">
        <v>187</v>
      </c>
    </row>
    <row r="169" spans="1:16" ht="52.5" x14ac:dyDescent="0.45">
      <c r="A169" s="28" t="s">
        <v>1378</v>
      </c>
      <c r="B169" s="28" t="s">
        <v>232</v>
      </c>
      <c r="C169" s="28" t="s">
        <v>233</v>
      </c>
      <c r="D169" s="28" t="s">
        <v>1369</v>
      </c>
      <c r="E169" s="30" t="s">
        <v>326</v>
      </c>
      <c r="F169" s="28" t="s">
        <v>1379</v>
      </c>
      <c r="G169" s="28" t="s">
        <v>291</v>
      </c>
      <c r="H169" s="28" t="s">
        <v>318</v>
      </c>
      <c r="I169" s="28" t="s">
        <v>405</v>
      </c>
      <c r="J169" s="28" t="s">
        <v>320</v>
      </c>
      <c r="K169" s="28" t="s">
        <v>1380</v>
      </c>
      <c r="L169" s="28" t="s">
        <v>1381</v>
      </c>
      <c r="M169" s="28" t="s">
        <v>1382</v>
      </c>
      <c r="N169" s="28" t="s">
        <v>408</v>
      </c>
      <c r="O169" s="28" t="s">
        <v>354</v>
      </c>
      <c r="P169" s="28" t="s">
        <v>187</v>
      </c>
    </row>
    <row r="170" spans="1:16" ht="52.5" x14ac:dyDescent="0.45">
      <c r="A170" s="28" t="s">
        <v>1383</v>
      </c>
      <c r="B170" s="28" t="s">
        <v>232</v>
      </c>
      <c r="C170" s="28" t="s">
        <v>233</v>
      </c>
      <c r="D170" s="28" t="s">
        <v>1369</v>
      </c>
      <c r="E170" s="30" t="s">
        <v>326</v>
      </c>
      <c r="F170" s="28" t="s">
        <v>1384</v>
      </c>
      <c r="G170" s="28" t="s">
        <v>291</v>
      </c>
      <c r="H170" s="28" t="s">
        <v>318</v>
      </c>
      <c r="I170" s="28" t="s">
        <v>405</v>
      </c>
      <c r="J170" s="28" t="s">
        <v>320</v>
      </c>
      <c r="K170" s="28" t="s">
        <v>1385</v>
      </c>
      <c r="L170" s="28" t="s">
        <v>187</v>
      </c>
      <c r="M170" s="28" t="s">
        <v>1386</v>
      </c>
      <c r="N170" s="28" t="s">
        <v>408</v>
      </c>
      <c r="O170" s="28" t="s">
        <v>354</v>
      </c>
      <c r="P170" s="28" t="s">
        <v>187</v>
      </c>
    </row>
    <row r="171" spans="1:16" ht="35" x14ac:dyDescent="0.45">
      <c r="A171" s="28" t="s">
        <v>1387</v>
      </c>
      <c r="B171" s="28" t="s">
        <v>232</v>
      </c>
      <c r="C171" s="28" t="s">
        <v>233</v>
      </c>
      <c r="D171" s="28" t="s">
        <v>1369</v>
      </c>
      <c r="E171" s="29" t="s">
        <v>289</v>
      </c>
      <c r="F171" s="28" t="s">
        <v>1370</v>
      </c>
      <c r="G171" s="28" t="s">
        <v>291</v>
      </c>
      <c r="H171" s="28" t="s">
        <v>318</v>
      </c>
      <c r="I171" s="28" t="s">
        <v>397</v>
      </c>
      <c r="J171" s="28" t="s">
        <v>320</v>
      </c>
      <c r="K171" s="28" t="s">
        <v>1388</v>
      </c>
      <c r="L171" s="28" t="s">
        <v>1389</v>
      </c>
      <c r="M171" s="28" t="s">
        <v>1390</v>
      </c>
      <c r="N171" s="28" t="s">
        <v>1391</v>
      </c>
      <c r="O171" s="28" t="s">
        <v>354</v>
      </c>
      <c r="P171" s="28" t="s">
        <v>187</v>
      </c>
    </row>
    <row r="172" spans="1:16" ht="52.5" x14ac:dyDescent="0.45">
      <c r="A172" s="28" t="s">
        <v>1392</v>
      </c>
      <c r="B172" s="28" t="s">
        <v>232</v>
      </c>
      <c r="C172" s="28" t="s">
        <v>233</v>
      </c>
      <c r="D172" s="28" t="s">
        <v>1393</v>
      </c>
      <c r="E172" s="30" t="s">
        <v>326</v>
      </c>
      <c r="F172" s="28" t="s">
        <v>1394</v>
      </c>
      <c r="G172" s="28" t="s">
        <v>291</v>
      </c>
      <c r="H172" s="28" t="s">
        <v>318</v>
      </c>
      <c r="I172" s="28" t="s">
        <v>405</v>
      </c>
      <c r="J172" s="28" t="s">
        <v>320</v>
      </c>
      <c r="K172" s="28" t="s">
        <v>1395</v>
      </c>
      <c r="L172" s="28" t="s">
        <v>1396</v>
      </c>
      <c r="M172" s="28" t="s">
        <v>1397</v>
      </c>
      <c r="N172" s="28" t="s">
        <v>408</v>
      </c>
      <c r="O172" s="28" t="s">
        <v>354</v>
      </c>
      <c r="P172" s="28" t="s">
        <v>187</v>
      </c>
    </row>
    <row r="173" spans="1:16" ht="35" x14ac:dyDescent="0.45">
      <c r="A173" s="28" t="s">
        <v>1398</v>
      </c>
      <c r="B173" s="28" t="s">
        <v>232</v>
      </c>
      <c r="C173" s="28" t="s">
        <v>233</v>
      </c>
      <c r="D173" s="28" t="s">
        <v>1393</v>
      </c>
      <c r="E173" s="32" t="s">
        <v>385</v>
      </c>
      <c r="F173" s="28" t="s">
        <v>1399</v>
      </c>
      <c r="G173" s="28" t="s">
        <v>187</v>
      </c>
      <c r="H173" s="28" t="s">
        <v>318</v>
      </c>
      <c r="I173" s="28" t="s">
        <v>397</v>
      </c>
      <c r="J173" s="28" t="s">
        <v>320</v>
      </c>
      <c r="K173" s="28" t="s">
        <v>1400</v>
      </c>
      <c r="L173" s="28" t="s">
        <v>1401</v>
      </c>
      <c r="M173" s="28" t="s">
        <v>1402</v>
      </c>
      <c r="N173" s="28" t="s">
        <v>1403</v>
      </c>
      <c r="O173" s="28" t="s">
        <v>354</v>
      </c>
      <c r="P173" s="28" t="s">
        <v>187</v>
      </c>
    </row>
    <row r="174" spans="1:16" ht="35" x14ac:dyDescent="0.45">
      <c r="A174" s="28" t="s">
        <v>1404</v>
      </c>
      <c r="B174" s="28" t="s">
        <v>232</v>
      </c>
      <c r="C174" s="28" t="s">
        <v>233</v>
      </c>
      <c r="D174" s="28" t="s">
        <v>1393</v>
      </c>
      <c r="E174" s="32" t="s">
        <v>385</v>
      </c>
      <c r="F174" s="28" t="s">
        <v>1405</v>
      </c>
      <c r="G174" s="28" t="s">
        <v>291</v>
      </c>
      <c r="H174" s="28" t="s">
        <v>318</v>
      </c>
      <c r="I174" s="28" t="s">
        <v>397</v>
      </c>
      <c r="J174" s="28" t="s">
        <v>320</v>
      </c>
      <c r="K174" s="28" t="s">
        <v>1406</v>
      </c>
      <c r="L174" s="28" t="s">
        <v>1407</v>
      </c>
      <c r="M174" s="28" t="s">
        <v>1408</v>
      </c>
      <c r="N174" s="28" t="s">
        <v>1403</v>
      </c>
      <c r="O174" s="28" t="s">
        <v>354</v>
      </c>
      <c r="P174" s="28" t="s">
        <v>187</v>
      </c>
    </row>
    <row r="175" spans="1:16" ht="35" x14ac:dyDescent="0.45">
      <c r="A175" s="28" t="s">
        <v>1409</v>
      </c>
      <c r="B175" s="28" t="s">
        <v>232</v>
      </c>
      <c r="C175" s="28" t="s">
        <v>233</v>
      </c>
      <c r="D175" s="28" t="s">
        <v>1393</v>
      </c>
      <c r="E175" s="29" t="s">
        <v>289</v>
      </c>
      <c r="F175" s="28" t="s">
        <v>1410</v>
      </c>
      <c r="G175" s="28" t="s">
        <v>187</v>
      </c>
      <c r="H175" s="28" t="s">
        <v>318</v>
      </c>
      <c r="I175" s="28" t="s">
        <v>397</v>
      </c>
      <c r="J175" s="28" t="s">
        <v>320</v>
      </c>
      <c r="K175" s="28" t="s">
        <v>1411</v>
      </c>
      <c r="L175" s="28" t="s">
        <v>1412</v>
      </c>
      <c r="M175" s="28" t="s">
        <v>1413</v>
      </c>
      <c r="N175" s="28" t="s">
        <v>1403</v>
      </c>
      <c r="O175" s="28" t="s">
        <v>354</v>
      </c>
      <c r="P175" s="28" t="s">
        <v>187</v>
      </c>
    </row>
    <row r="176" spans="1:16" ht="52.5" x14ac:dyDescent="0.45">
      <c r="A176" s="28" t="s">
        <v>1414</v>
      </c>
      <c r="B176" s="28" t="s">
        <v>232</v>
      </c>
      <c r="C176" s="28" t="s">
        <v>233</v>
      </c>
      <c r="D176" s="28" t="s">
        <v>1415</v>
      </c>
      <c r="E176" s="30" t="s">
        <v>326</v>
      </c>
      <c r="F176" s="28" t="s">
        <v>1416</v>
      </c>
      <c r="G176" s="28" t="s">
        <v>291</v>
      </c>
      <c r="H176" s="28" t="s">
        <v>318</v>
      </c>
      <c r="I176" s="28" t="s">
        <v>405</v>
      </c>
      <c r="J176" s="28" t="s">
        <v>320</v>
      </c>
      <c r="K176" s="28" t="s">
        <v>1417</v>
      </c>
      <c r="L176" s="28" t="s">
        <v>1418</v>
      </c>
      <c r="M176" s="28" t="s">
        <v>1419</v>
      </c>
      <c r="N176" s="28" t="s">
        <v>1420</v>
      </c>
      <c r="O176" s="28" t="s">
        <v>1421</v>
      </c>
      <c r="P176" s="28" t="s">
        <v>1422</v>
      </c>
    </row>
    <row r="177" spans="1:16" ht="52.5" x14ac:dyDescent="0.45">
      <c r="A177" s="28" t="s">
        <v>1423</v>
      </c>
      <c r="B177" s="28" t="s">
        <v>232</v>
      </c>
      <c r="C177" s="28" t="s">
        <v>233</v>
      </c>
      <c r="D177" s="28" t="s">
        <v>1415</v>
      </c>
      <c r="E177" s="30" t="s">
        <v>326</v>
      </c>
      <c r="F177" s="28" t="s">
        <v>1424</v>
      </c>
      <c r="G177" s="28" t="s">
        <v>291</v>
      </c>
      <c r="H177" s="28" t="s">
        <v>318</v>
      </c>
      <c r="I177" s="28" t="s">
        <v>405</v>
      </c>
      <c r="J177" s="28" t="s">
        <v>320</v>
      </c>
      <c r="K177" s="28" t="s">
        <v>1425</v>
      </c>
      <c r="L177" s="28" t="s">
        <v>1426</v>
      </c>
      <c r="M177" s="28" t="s">
        <v>1427</v>
      </c>
      <c r="N177" s="28" t="s">
        <v>408</v>
      </c>
      <c r="O177" s="28" t="s">
        <v>1428</v>
      </c>
      <c r="P177" s="28" t="s">
        <v>187</v>
      </c>
    </row>
    <row r="178" spans="1:16" ht="35" x14ac:dyDescent="0.45">
      <c r="A178" s="28" t="s">
        <v>1429</v>
      </c>
      <c r="B178" s="28" t="s">
        <v>232</v>
      </c>
      <c r="C178" s="28" t="s">
        <v>233</v>
      </c>
      <c r="D178" s="28" t="s">
        <v>1415</v>
      </c>
      <c r="E178" s="29" t="s">
        <v>289</v>
      </c>
      <c r="F178" s="28" t="s">
        <v>1416</v>
      </c>
      <c r="G178" s="28" t="s">
        <v>291</v>
      </c>
      <c r="H178" s="28" t="s">
        <v>318</v>
      </c>
      <c r="I178" s="28" t="s">
        <v>397</v>
      </c>
      <c r="J178" s="28" t="s">
        <v>320</v>
      </c>
      <c r="K178" s="28" t="s">
        <v>1430</v>
      </c>
      <c r="L178" s="28" t="s">
        <v>1431</v>
      </c>
      <c r="M178" s="28" t="s">
        <v>1432</v>
      </c>
      <c r="N178" s="28" t="s">
        <v>1433</v>
      </c>
      <c r="O178" s="28" t="s">
        <v>1434</v>
      </c>
      <c r="P178" s="28" t="s">
        <v>1422</v>
      </c>
    </row>
    <row r="179" spans="1:16" ht="35" x14ac:dyDescent="0.45">
      <c r="A179" s="28" t="s">
        <v>1435</v>
      </c>
      <c r="B179" s="28" t="s">
        <v>232</v>
      </c>
      <c r="C179" s="28" t="s">
        <v>233</v>
      </c>
      <c r="D179" s="28" t="s">
        <v>1415</v>
      </c>
      <c r="E179" s="32" t="s">
        <v>385</v>
      </c>
      <c r="F179" s="28" t="s">
        <v>1424</v>
      </c>
      <c r="G179" s="28" t="s">
        <v>291</v>
      </c>
      <c r="H179" s="28" t="s">
        <v>318</v>
      </c>
      <c r="I179" s="28" t="s">
        <v>397</v>
      </c>
      <c r="J179" s="28" t="s">
        <v>320</v>
      </c>
      <c r="K179" s="28" t="s">
        <v>1436</v>
      </c>
      <c r="L179" s="28" t="s">
        <v>1437</v>
      </c>
      <c r="M179" s="28" t="s">
        <v>1438</v>
      </c>
      <c r="N179" s="28" t="s">
        <v>623</v>
      </c>
      <c r="O179" s="28" t="s">
        <v>1439</v>
      </c>
      <c r="P179" s="28" t="s">
        <v>1422</v>
      </c>
    </row>
    <row r="180" spans="1:16" ht="35" x14ac:dyDescent="0.45">
      <c r="A180" s="28" t="s">
        <v>1440</v>
      </c>
      <c r="B180" s="28" t="s">
        <v>232</v>
      </c>
      <c r="C180" s="28" t="s">
        <v>233</v>
      </c>
      <c r="D180" s="28" t="s">
        <v>1415</v>
      </c>
      <c r="E180" s="32" t="s">
        <v>385</v>
      </c>
      <c r="F180" s="28" t="s">
        <v>1441</v>
      </c>
      <c r="G180" s="28" t="s">
        <v>291</v>
      </c>
      <c r="H180" s="28" t="s">
        <v>318</v>
      </c>
      <c r="I180" s="28" t="s">
        <v>397</v>
      </c>
      <c r="J180" s="28" t="s">
        <v>320</v>
      </c>
      <c r="K180" s="28" t="s">
        <v>1442</v>
      </c>
      <c r="L180" s="28" t="s">
        <v>1443</v>
      </c>
      <c r="M180" s="28" t="s">
        <v>1444</v>
      </c>
      <c r="N180" s="28" t="s">
        <v>623</v>
      </c>
      <c r="O180" s="28" t="s">
        <v>1445</v>
      </c>
      <c r="P180" s="28" t="s">
        <v>1422</v>
      </c>
    </row>
    <row r="181" spans="1:16" ht="36" x14ac:dyDescent="0.45">
      <c r="A181" s="28" t="s">
        <v>1446</v>
      </c>
      <c r="B181" s="28" t="s">
        <v>232</v>
      </c>
      <c r="C181" s="28" t="s">
        <v>233</v>
      </c>
      <c r="D181" s="28" t="s">
        <v>1415</v>
      </c>
      <c r="E181" s="31" t="s">
        <v>340</v>
      </c>
      <c r="F181" s="28" t="s">
        <v>1424</v>
      </c>
      <c r="G181" s="28" t="s">
        <v>187</v>
      </c>
      <c r="H181" s="28" t="s">
        <v>318</v>
      </c>
      <c r="I181" s="28" t="s">
        <v>397</v>
      </c>
      <c r="J181" s="28" t="s">
        <v>320</v>
      </c>
      <c r="K181" s="28" t="s">
        <v>1447</v>
      </c>
      <c r="L181" s="28" t="s">
        <v>1448</v>
      </c>
      <c r="M181" s="28" t="s">
        <v>1449</v>
      </c>
      <c r="N181" s="28" t="s">
        <v>623</v>
      </c>
      <c r="O181" s="28" t="s">
        <v>1450</v>
      </c>
      <c r="P181" s="28" t="s">
        <v>1422</v>
      </c>
    </row>
    <row r="182" spans="1:16" ht="87.5" x14ac:dyDescent="0.45">
      <c r="A182" s="28" t="s">
        <v>1451</v>
      </c>
      <c r="B182" s="28" t="s">
        <v>232</v>
      </c>
      <c r="C182" s="28" t="s">
        <v>233</v>
      </c>
      <c r="D182" s="28" t="s">
        <v>1452</v>
      </c>
      <c r="E182" s="30" t="s">
        <v>326</v>
      </c>
      <c r="F182" s="28" t="s">
        <v>1453</v>
      </c>
      <c r="G182" s="28" t="s">
        <v>291</v>
      </c>
      <c r="H182" s="28" t="s">
        <v>570</v>
      </c>
      <c r="I182" s="28" t="s">
        <v>571</v>
      </c>
      <c r="J182" s="28" t="s">
        <v>572</v>
      </c>
      <c r="K182" s="28" t="s">
        <v>1454</v>
      </c>
      <c r="L182" s="28" t="s">
        <v>187</v>
      </c>
      <c r="M182" s="28" t="s">
        <v>1455</v>
      </c>
      <c r="N182" s="28" t="s">
        <v>1456</v>
      </c>
      <c r="O182" s="28" t="s">
        <v>575</v>
      </c>
      <c r="P182" s="28" t="s">
        <v>187</v>
      </c>
    </row>
    <row r="183" spans="1:16" ht="52.5" x14ac:dyDescent="0.45">
      <c r="A183" s="28" t="s">
        <v>1457</v>
      </c>
      <c r="B183" s="28" t="s">
        <v>232</v>
      </c>
      <c r="C183" s="28" t="s">
        <v>233</v>
      </c>
      <c r="D183" s="28" t="s">
        <v>1458</v>
      </c>
      <c r="E183" s="30" t="s">
        <v>326</v>
      </c>
      <c r="F183" s="28" t="s">
        <v>1459</v>
      </c>
      <c r="G183" s="28" t="s">
        <v>291</v>
      </c>
      <c r="H183" s="28" t="s">
        <v>318</v>
      </c>
      <c r="I183" s="28" t="s">
        <v>405</v>
      </c>
      <c r="J183" s="28" t="s">
        <v>320</v>
      </c>
      <c r="K183" s="28" t="s">
        <v>1460</v>
      </c>
      <c r="L183" s="28" t="s">
        <v>1461</v>
      </c>
      <c r="M183" s="28" t="s">
        <v>1462</v>
      </c>
      <c r="N183" s="28" t="s">
        <v>1463</v>
      </c>
      <c r="O183" s="28" t="s">
        <v>354</v>
      </c>
      <c r="P183" s="28" t="s">
        <v>187</v>
      </c>
    </row>
    <row r="184" spans="1:16" ht="52.5" x14ac:dyDescent="0.45">
      <c r="A184" s="28" t="s">
        <v>1464</v>
      </c>
      <c r="B184" s="28" t="s">
        <v>232</v>
      </c>
      <c r="C184" s="28" t="s">
        <v>233</v>
      </c>
      <c r="D184" s="28" t="s">
        <v>1458</v>
      </c>
      <c r="E184" s="30" t="s">
        <v>326</v>
      </c>
      <c r="F184" s="28" t="s">
        <v>1465</v>
      </c>
      <c r="G184" s="28" t="s">
        <v>291</v>
      </c>
      <c r="H184" s="28" t="s">
        <v>318</v>
      </c>
      <c r="I184" s="28" t="s">
        <v>405</v>
      </c>
      <c r="J184" s="28" t="s">
        <v>320</v>
      </c>
      <c r="K184" s="28" t="s">
        <v>1466</v>
      </c>
      <c r="L184" s="28" t="s">
        <v>1467</v>
      </c>
      <c r="M184" s="28" t="s">
        <v>1468</v>
      </c>
      <c r="N184" s="28" t="s">
        <v>408</v>
      </c>
      <c r="O184" s="28" t="s">
        <v>354</v>
      </c>
      <c r="P184" s="28" t="s">
        <v>187</v>
      </c>
    </row>
    <row r="185" spans="1:16" ht="52.5" x14ac:dyDescent="0.45">
      <c r="A185" s="28" t="s">
        <v>1469</v>
      </c>
      <c r="B185" s="28" t="s">
        <v>232</v>
      </c>
      <c r="C185" s="28" t="s">
        <v>233</v>
      </c>
      <c r="D185" s="28" t="s">
        <v>1458</v>
      </c>
      <c r="E185" s="30" t="s">
        <v>326</v>
      </c>
      <c r="F185" s="28" t="s">
        <v>1470</v>
      </c>
      <c r="G185" s="28" t="s">
        <v>291</v>
      </c>
      <c r="H185" s="28" t="s">
        <v>318</v>
      </c>
      <c r="I185" s="28" t="s">
        <v>405</v>
      </c>
      <c r="J185" s="28" t="s">
        <v>320</v>
      </c>
      <c r="K185" s="28" t="s">
        <v>1471</v>
      </c>
      <c r="L185" s="28" t="s">
        <v>187</v>
      </c>
      <c r="M185" s="28" t="s">
        <v>1472</v>
      </c>
      <c r="N185" s="28" t="s">
        <v>408</v>
      </c>
      <c r="O185" s="28" t="s">
        <v>354</v>
      </c>
      <c r="P185" s="28" t="s">
        <v>187</v>
      </c>
    </row>
    <row r="186" spans="1:16" ht="52.5" x14ac:dyDescent="0.45">
      <c r="A186" s="28" t="s">
        <v>1473</v>
      </c>
      <c r="B186" s="28" t="s">
        <v>232</v>
      </c>
      <c r="C186" s="28" t="s">
        <v>233</v>
      </c>
      <c r="D186" s="28" t="s">
        <v>1458</v>
      </c>
      <c r="E186" s="30" t="s">
        <v>326</v>
      </c>
      <c r="F186" s="28" t="s">
        <v>1474</v>
      </c>
      <c r="G186" s="28" t="s">
        <v>291</v>
      </c>
      <c r="H186" s="28" t="s">
        <v>318</v>
      </c>
      <c r="I186" s="28" t="s">
        <v>405</v>
      </c>
      <c r="J186" s="28" t="s">
        <v>320</v>
      </c>
      <c r="K186" s="28" t="s">
        <v>1475</v>
      </c>
      <c r="L186" s="28" t="s">
        <v>187</v>
      </c>
      <c r="M186" s="28" t="s">
        <v>1476</v>
      </c>
      <c r="N186" s="28" t="s">
        <v>408</v>
      </c>
      <c r="O186" s="28" t="s">
        <v>354</v>
      </c>
      <c r="P186" s="28" t="s">
        <v>187</v>
      </c>
    </row>
    <row r="187" spans="1:16" ht="52.5" x14ac:dyDescent="0.45">
      <c r="A187" s="28" t="s">
        <v>1477</v>
      </c>
      <c r="B187" s="28" t="s">
        <v>232</v>
      </c>
      <c r="C187" s="28" t="s">
        <v>233</v>
      </c>
      <c r="D187" s="28" t="s">
        <v>1458</v>
      </c>
      <c r="E187" s="30" t="s">
        <v>326</v>
      </c>
      <c r="F187" s="28" t="s">
        <v>1478</v>
      </c>
      <c r="G187" s="28" t="s">
        <v>291</v>
      </c>
      <c r="H187" s="28" t="s">
        <v>318</v>
      </c>
      <c r="I187" s="28" t="s">
        <v>405</v>
      </c>
      <c r="J187" s="28" t="s">
        <v>320</v>
      </c>
      <c r="K187" s="28" t="s">
        <v>1479</v>
      </c>
      <c r="L187" s="28" t="s">
        <v>187</v>
      </c>
      <c r="M187" s="28" t="s">
        <v>1480</v>
      </c>
      <c r="N187" s="28" t="s">
        <v>408</v>
      </c>
      <c r="O187" s="28" t="s">
        <v>354</v>
      </c>
      <c r="P187" s="28" t="s">
        <v>187</v>
      </c>
    </row>
    <row r="188" spans="1:16" ht="52.5" x14ac:dyDescent="0.45">
      <c r="A188" s="28" t="s">
        <v>1481</v>
      </c>
      <c r="B188" s="28" t="s">
        <v>232</v>
      </c>
      <c r="C188" s="28" t="s">
        <v>233</v>
      </c>
      <c r="D188" s="28" t="s">
        <v>1458</v>
      </c>
      <c r="E188" s="30" t="s">
        <v>326</v>
      </c>
      <c r="F188" s="28" t="s">
        <v>1482</v>
      </c>
      <c r="G188" s="28" t="s">
        <v>291</v>
      </c>
      <c r="H188" s="28" t="s">
        <v>318</v>
      </c>
      <c r="I188" s="28" t="s">
        <v>405</v>
      </c>
      <c r="J188" s="28" t="s">
        <v>320</v>
      </c>
      <c r="K188" s="28" t="s">
        <v>1483</v>
      </c>
      <c r="L188" s="28" t="s">
        <v>187</v>
      </c>
      <c r="M188" s="28" t="s">
        <v>1484</v>
      </c>
      <c r="N188" s="28" t="s">
        <v>408</v>
      </c>
      <c r="O188" s="28" t="s">
        <v>354</v>
      </c>
      <c r="P188" s="28" t="s">
        <v>187</v>
      </c>
    </row>
    <row r="189" spans="1:16" ht="52.5" x14ac:dyDescent="0.45">
      <c r="A189" s="28" t="s">
        <v>1485</v>
      </c>
      <c r="B189" s="28" t="s">
        <v>232</v>
      </c>
      <c r="C189" s="28" t="s">
        <v>233</v>
      </c>
      <c r="D189" s="28" t="s">
        <v>1458</v>
      </c>
      <c r="E189" s="29" t="s">
        <v>289</v>
      </c>
      <c r="F189" s="28" t="s">
        <v>1459</v>
      </c>
      <c r="G189" s="28" t="s">
        <v>291</v>
      </c>
      <c r="H189" s="28" t="s">
        <v>318</v>
      </c>
      <c r="I189" s="28" t="s">
        <v>397</v>
      </c>
      <c r="J189" s="28" t="s">
        <v>320</v>
      </c>
      <c r="K189" s="28" t="s">
        <v>1486</v>
      </c>
      <c r="L189" s="28" t="s">
        <v>1487</v>
      </c>
      <c r="M189" s="28" t="s">
        <v>1488</v>
      </c>
      <c r="N189" s="28" t="s">
        <v>1489</v>
      </c>
      <c r="O189" s="28" t="s">
        <v>354</v>
      </c>
      <c r="P189" s="28" t="s">
        <v>187</v>
      </c>
    </row>
    <row r="190" spans="1:16" ht="35" x14ac:dyDescent="0.45">
      <c r="A190" s="28" t="s">
        <v>1490</v>
      </c>
      <c r="B190" s="28" t="s">
        <v>232</v>
      </c>
      <c r="C190" s="28" t="s">
        <v>233</v>
      </c>
      <c r="D190" s="28" t="s">
        <v>1458</v>
      </c>
      <c r="E190" s="32" t="s">
        <v>385</v>
      </c>
      <c r="F190" s="28" t="s">
        <v>1482</v>
      </c>
      <c r="G190" s="28" t="s">
        <v>291</v>
      </c>
      <c r="H190" s="28" t="s">
        <v>318</v>
      </c>
      <c r="I190" s="28" t="s">
        <v>397</v>
      </c>
      <c r="J190" s="28" t="s">
        <v>320</v>
      </c>
      <c r="K190" s="28" t="s">
        <v>1491</v>
      </c>
      <c r="L190" s="28" t="s">
        <v>1492</v>
      </c>
      <c r="M190" s="28" t="s">
        <v>1493</v>
      </c>
      <c r="N190" s="28" t="s">
        <v>623</v>
      </c>
      <c r="O190" s="28" t="s">
        <v>354</v>
      </c>
      <c r="P190" s="28" t="s">
        <v>187</v>
      </c>
    </row>
    <row r="191" spans="1:16" ht="35" x14ac:dyDescent="0.45">
      <c r="A191" s="28" t="s">
        <v>1494</v>
      </c>
      <c r="B191" s="28" t="s">
        <v>232</v>
      </c>
      <c r="C191" s="28" t="s">
        <v>233</v>
      </c>
      <c r="D191" s="28" t="s">
        <v>1458</v>
      </c>
      <c r="E191" s="32" t="s">
        <v>385</v>
      </c>
      <c r="F191" s="28" t="s">
        <v>1495</v>
      </c>
      <c r="G191" s="28" t="s">
        <v>291</v>
      </c>
      <c r="H191" s="28" t="s">
        <v>318</v>
      </c>
      <c r="I191" s="28" t="s">
        <v>397</v>
      </c>
      <c r="J191" s="28" t="s">
        <v>320</v>
      </c>
      <c r="K191" s="28" t="s">
        <v>1496</v>
      </c>
      <c r="L191" s="28" t="s">
        <v>1497</v>
      </c>
      <c r="M191" s="28" t="s">
        <v>1498</v>
      </c>
      <c r="N191" s="28" t="s">
        <v>623</v>
      </c>
      <c r="O191" s="28" t="s">
        <v>354</v>
      </c>
      <c r="P191" s="28" t="s">
        <v>187</v>
      </c>
    </row>
    <row r="192" spans="1:16" ht="36" x14ac:dyDescent="0.45">
      <c r="A192" s="28" t="s">
        <v>1499</v>
      </c>
      <c r="B192" s="28" t="s">
        <v>232</v>
      </c>
      <c r="C192" s="28" t="s">
        <v>233</v>
      </c>
      <c r="D192" s="28" t="s">
        <v>1458</v>
      </c>
      <c r="E192" s="31" t="s">
        <v>340</v>
      </c>
      <c r="F192" s="28" t="s">
        <v>1482</v>
      </c>
      <c r="G192" s="28" t="s">
        <v>187</v>
      </c>
      <c r="H192" s="28" t="s">
        <v>318</v>
      </c>
      <c r="I192" s="28" t="s">
        <v>397</v>
      </c>
      <c r="J192" s="28" t="s">
        <v>320</v>
      </c>
      <c r="K192" s="28" t="s">
        <v>1500</v>
      </c>
      <c r="L192" s="28" t="s">
        <v>1501</v>
      </c>
      <c r="M192" s="28" t="s">
        <v>1502</v>
      </c>
      <c r="N192" s="28" t="s">
        <v>623</v>
      </c>
      <c r="O192" s="28" t="s">
        <v>354</v>
      </c>
      <c r="P192" s="28" t="s">
        <v>187</v>
      </c>
    </row>
    <row r="193" spans="1:16" ht="70" x14ac:dyDescent="0.45">
      <c r="A193" s="28" t="s">
        <v>1503</v>
      </c>
      <c r="B193" s="28" t="s">
        <v>232</v>
      </c>
      <c r="C193" s="28" t="s">
        <v>233</v>
      </c>
      <c r="D193" s="28" t="s">
        <v>1458</v>
      </c>
      <c r="E193" s="32" t="s">
        <v>385</v>
      </c>
      <c r="F193" s="28" t="s">
        <v>1504</v>
      </c>
      <c r="G193" s="28" t="s">
        <v>291</v>
      </c>
      <c r="H193" s="28" t="s">
        <v>570</v>
      </c>
      <c r="I193" s="28" t="s">
        <v>571</v>
      </c>
      <c r="J193" s="28" t="s">
        <v>572</v>
      </c>
      <c r="K193" s="28" t="s">
        <v>1505</v>
      </c>
      <c r="L193" s="28" t="s">
        <v>1506</v>
      </c>
      <c r="M193" s="28" t="s">
        <v>1507</v>
      </c>
      <c r="N193" s="28" t="s">
        <v>1508</v>
      </c>
      <c r="O193" s="28" t="s">
        <v>575</v>
      </c>
      <c r="P193" s="28" t="s">
        <v>187</v>
      </c>
    </row>
    <row r="194" spans="1:16" ht="52.5" x14ac:dyDescent="0.45">
      <c r="A194" s="28" t="s">
        <v>1509</v>
      </c>
      <c r="B194" s="28" t="s">
        <v>232</v>
      </c>
      <c r="C194" s="28" t="s">
        <v>233</v>
      </c>
      <c r="D194" s="28" t="s">
        <v>1510</v>
      </c>
      <c r="E194" s="30" t="s">
        <v>326</v>
      </c>
      <c r="F194" s="28" t="s">
        <v>1511</v>
      </c>
      <c r="G194" s="28" t="s">
        <v>291</v>
      </c>
      <c r="H194" s="28" t="s">
        <v>318</v>
      </c>
      <c r="I194" s="28" t="s">
        <v>405</v>
      </c>
      <c r="J194" s="28" t="s">
        <v>320</v>
      </c>
      <c r="K194" s="28" t="s">
        <v>1512</v>
      </c>
      <c r="L194" s="28" t="s">
        <v>1513</v>
      </c>
      <c r="M194" s="28" t="s">
        <v>1514</v>
      </c>
      <c r="N194" s="28" t="s">
        <v>1515</v>
      </c>
      <c r="O194" s="28" t="s">
        <v>354</v>
      </c>
      <c r="P194" s="28" t="s">
        <v>187</v>
      </c>
    </row>
    <row r="195" spans="1:16" ht="52.5" x14ac:dyDescent="0.45">
      <c r="A195" s="28" t="s">
        <v>1516</v>
      </c>
      <c r="B195" s="28" t="s">
        <v>232</v>
      </c>
      <c r="C195" s="28" t="s">
        <v>233</v>
      </c>
      <c r="D195" s="28" t="s">
        <v>1510</v>
      </c>
      <c r="E195" s="30" t="s">
        <v>326</v>
      </c>
      <c r="F195" s="28" t="s">
        <v>1517</v>
      </c>
      <c r="G195" s="28" t="s">
        <v>291</v>
      </c>
      <c r="H195" s="28" t="s">
        <v>318</v>
      </c>
      <c r="I195" s="28" t="s">
        <v>405</v>
      </c>
      <c r="J195" s="28" t="s">
        <v>320</v>
      </c>
      <c r="K195" s="28" t="s">
        <v>1518</v>
      </c>
      <c r="L195" s="28" t="s">
        <v>187</v>
      </c>
      <c r="M195" s="28" t="s">
        <v>1519</v>
      </c>
      <c r="N195" s="28" t="s">
        <v>408</v>
      </c>
      <c r="O195" s="28" t="s">
        <v>354</v>
      </c>
      <c r="P195" s="28" t="s">
        <v>187</v>
      </c>
    </row>
    <row r="196" spans="1:16" ht="52.5" x14ac:dyDescent="0.45">
      <c r="A196" s="28" t="s">
        <v>1520</v>
      </c>
      <c r="B196" s="28" t="s">
        <v>232</v>
      </c>
      <c r="C196" s="28" t="s">
        <v>233</v>
      </c>
      <c r="D196" s="28" t="s">
        <v>1510</v>
      </c>
      <c r="E196" s="30" t="s">
        <v>326</v>
      </c>
      <c r="F196" s="28" t="s">
        <v>1521</v>
      </c>
      <c r="G196" s="28" t="s">
        <v>291</v>
      </c>
      <c r="H196" s="28" t="s">
        <v>318</v>
      </c>
      <c r="I196" s="28" t="s">
        <v>405</v>
      </c>
      <c r="J196" s="28" t="s">
        <v>320</v>
      </c>
      <c r="K196" s="28" t="s">
        <v>1522</v>
      </c>
      <c r="L196" s="28" t="s">
        <v>187</v>
      </c>
      <c r="M196" s="28" t="s">
        <v>1523</v>
      </c>
      <c r="N196" s="28" t="s">
        <v>408</v>
      </c>
      <c r="O196" s="28" t="s">
        <v>354</v>
      </c>
      <c r="P196" s="28" t="s">
        <v>187</v>
      </c>
    </row>
    <row r="197" spans="1:16" ht="87.5" x14ac:dyDescent="0.45">
      <c r="A197" s="28" t="s">
        <v>1524</v>
      </c>
      <c r="B197" s="28" t="s">
        <v>232</v>
      </c>
      <c r="C197" s="28" t="s">
        <v>233</v>
      </c>
      <c r="D197" s="28" t="s">
        <v>1510</v>
      </c>
      <c r="E197" s="29" t="s">
        <v>289</v>
      </c>
      <c r="F197" s="28" t="s">
        <v>1525</v>
      </c>
      <c r="G197" s="28" t="s">
        <v>291</v>
      </c>
      <c r="H197" s="28" t="s">
        <v>318</v>
      </c>
      <c r="I197" s="28" t="s">
        <v>397</v>
      </c>
      <c r="J197" s="28" t="s">
        <v>320</v>
      </c>
      <c r="K197" s="28" t="s">
        <v>1526</v>
      </c>
      <c r="L197" s="28" t="s">
        <v>1527</v>
      </c>
      <c r="M197" s="28" t="s">
        <v>1528</v>
      </c>
      <c r="N197" s="28" t="s">
        <v>1529</v>
      </c>
      <c r="O197" s="28" t="s">
        <v>354</v>
      </c>
      <c r="P197" s="28" t="s">
        <v>187</v>
      </c>
    </row>
    <row r="198" spans="1:16" ht="70" x14ac:dyDescent="0.45">
      <c r="A198" s="28" t="s">
        <v>1530</v>
      </c>
      <c r="B198" s="28" t="s">
        <v>232</v>
      </c>
      <c r="C198" s="28" t="s">
        <v>233</v>
      </c>
      <c r="D198" s="28" t="s">
        <v>1510</v>
      </c>
      <c r="E198" s="29" t="s">
        <v>289</v>
      </c>
      <c r="F198" s="28" t="s">
        <v>1531</v>
      </c>
      <c r="G198" s="28" t="s">
        <v>291</v>
      </c>
      <c r="H198" s="28" t="s">
        <v>570</v>
      </c>
      <c r="I198" s="28" t="s">
        <v>571</v>
      </c>
      <c r="J198" s="28" t="s">
        <v>572</v>
      </c>
      <c r="K198" s="28" t="s">
        <v>1526</v>
      </c>
      <c r="L198" s="28" t="s">
        <v>1527</v>
      </c>
      <c r="M198" s="28" t="s">
        <v>1532</v>
      </c>
      <c r="N198" s="28" t="s">
        <v>1529</v>
      </c>
      <c r="O198" s="28" t="s">
        <v>575</v>
      </c>
      <c r="P198" s="28" t="s">
        <v>187</v>
      </c>
    </row>
    <row r="199" spans="1:16" ht="52.5" x14ac:dyDescent="0.45">
      <c r="A199" s="28" t="s">
        <v>1533</v>
      </c>
      <c r="B199" s="28" t="s">
        <v>232</v>
      </c>
      <c r="C199" s="28" t="s">
        <v>233</v>
      </c>
      <c r="D199" s="28" t="s">
        <v>1534</v>
      </c>
      <c r="E199" s="30" t="s">
        <v>326</v>
      </c>
      <c r="F199" s="28" t="s">
        <v>1535</v>
      </c>
      <c r="G199" s="28" t="s">
        <v>291</v>
      </c>
      <c r="H199" s="28" t="s">
        <v>318</v>
      </c>
      <c r="I199" s="28" t="s">
        <v>405</v>
      </c>
      <c r="J199" s="28" t="s">
        <v>320</v>
      </c>
      <c r="K199" s="28" t="s">
        <v>1536</v>
      </c>
      <c r="L199" s="28" t="s">
        <v>1537</v>
      </c>
      <c r="M199" s="28" t="s">
        <v>1538</v>
      </c>
      <c r="N199" s="28" t="s">
        <v>1539</v>
      </c>
      <c r="O199" s="28" t="s">
        <v>1540</v>
      </c>
      <c r="P199" s="28" t="s">
        <v>1541</v>
      </c>
    </row>
    <row r="200" spans="1:16" ht="52.5" x14ac:dyDescent="0.45">
      <c r="A200" s="28" t="s">
        <v>1542</v>
      </c>
      <c r="B200" s="28" t="s">
        <v>232</v>
      </c>
      <c r="C200" s="28" t="s">
        <v>233</v>
      </c>
      <c r="D200" s="28" t="s">
        <v>1534</v>
      </c>
      <c r="E200" s="30" t="s">
        <v>326</v>
      </c>
      <c r="F200" s="28" t="s">
        <v>1543</v>
      </c>
      <c r="G200" s="28" t="s">
        <v>291</v>
      </c>
      <c r="H200" s="28" t="s">
        <v>318</v>
      </c>
      <c r="I200" s="28" t="s">
        <v>405</v>
      </c>
      <c r="J200" s="28" t="s">
        <v>320</v>
      </c>
      <c r="K200" s="28" t="s">
        <v>1544</v>
      </c>
      <c r="L200" s="28" t="s">
        <v>1545</v>
      </c>
      <c r="M200" s="28" t="s">
        <v>1546</v>
      </c>
      <c r="N200" s="28" t="s">
        <v>408</v>
      </c>
      <c r="O200" s="28" t="s">
        <v>1547</v>
      </c>
      <c r="P200" s="28" t="s">
        <v>187</v>
      </c>
    </row>
    <row r="201" spans="1:16" ht="52.5" x14ac:dyDescent="0.45">
      <c r="A201" s="28" t="s">
        <v>1548</v>
      </c>
      <c r="B201" s="28" t="s">
        <v>232</v>
      </c>
      <c r="C201" s="28" t="s">
        <v>233</v>
      </c>
      <c r="D201" s="28" t="s">
        <v>1534</v>
      </c>
      <c r="E201" s="30" t="s">
        <v>326</v>
      </c>
      <c r="F201" s="28" t="s">
        <v>1549</v>
      </c>
      <c r="G201" s="28" t="s">
        <v>291</v>
      </c>
      <c r="H201" s="28" t="s">
        <v>318</v>
      </c>
      <c r="I201" s="28" t="s">
        <v>405</v>
      </c>
      <c r="J201" s="28" t="s">
        <v>320</v>
      </c>
      <c r="K201" s="28" t="s">
        <v>1550</v>
      </c>
      <c r="L201" s="28" t="s">
        <v>187</v>
      </c>
      <c r="M201" s="28" t="s">
        <v>1551</v>
      </c>
      <c r="N201" s="28" t="s">
        <v>408</v>
      </c>
      <c r="O201" s="28" t="s">
        <v>354</v>
      </c>
      <c r="P201" s="28" t="s">
        <v>187</v>
      </c>
    </row>
    <row r="202" spans="1:16" ht="52.5" x14ac:dyDescent="0.45">
      <c r="A202" s="28" t="s">
        <v>1552</v>
      </c>
      <c r="B202" s="28" t="s">
        <v>232</v>
      </c>
      <c r="C202" s="28" t="s">
        <v>233</v>
      </c>
      <c r="D202" s="28" t="s">
        <v>1534</v>
      </c>
      <c r="E202" s="30" t="s">
        <v>326</v>
      </c>
      <c r="F202" s="28" t="s">
        <v>1553</v>
      </c>
      <c r="G202" s="28" t="s">
        <v>291</v>
      </c>
      <c r="H202" s="28" t="s">
        <v>318</v>
      </c>
      <c r="I202" s="28" t="s">
        <v>405</v>
      </c>
      <c r="J202" s="28" t="s">
        <v>320</v>
      </c>
      <c r="K202" s="28" t="s">
        <v>1554</v>
      </c>
      <c r="L202" s="28" t="s">
        <v>187</v>
      </c>
      <c r="M202" s="28" t="s">
        <v>1555</v>
      </c>
      <c r="N202" s="28" t="s">
        <v>408</v>
      </c>
      <c r="O202" s="28" t="s">
        <v>1556</v>
      </c>
      <c r="P202" s="28" t="s">
        <v>187</v>
      </c>
    </row>
    <row r="203" spans="1:16" ht="52.5" x14ac:dyDescent="0.45">
      <c r="A203" s="28" t="s">
        <v>1557</v>
      </c>
      <c r="B203" s="28" t="s">
        <v>232</v>
      </c>
      <c r="C203" s="28" t="s">
        <v>233</v>
      </c>
      <c r="D203" s="28" t="s">
        <v>1534</v>
      </c>
      <c r="E203" s="30" t="s">
        <v>326</v>
      </c>
      <c r="F203" s="28" t="s">
        <v>1558</v>
      </c>
      <c r="G203" s="28" t="s">
        <v>291</v>
      </c>
      <c r="H203" s="28" t="s">
        <v>318</v>
      </c>
      <c r="I203" s="28" t="s">
        <v>405</v>
      </c>
      <c r="J203" s="28" t="s">
        <v>320</v>
      </c>
      <c r="K203" s="28" t="s">
        <v>1559</v>
      </c>
      <c r="L203" s="28" t="s">
        <v>187</v>
      </c>
      <c r="M203" s="28" t="s">
        <v>1560</v>
      </c>
      <c r="N203" s="28" t="s">
        <v>408</v>
      </c>
      <c r="O203" s="28" t="s">
        <v>1561</v>
      </c>
      <c r="P203" s="28" t="s">
        <v>187</v>
      </c>
    </row>
    <row r="204" spans="1:16" ht="52.5" x14ac:dyDescent="0.45">
      <c r="A204" s="28" t="s">
        <v>1562</v>
      </c>
      <c r="B204" s="28" t="s">
        <v>232</v>
      </c>
      <c r="C204" s="28" t="s">
        <v>233</v>
      </c>
      <c r="D204" s="28" t="s">
        <v>1534</v>
      </c>
      <c r="E204" s="30" t="s">
        <v>326</v>
      </c>
      <c r="F204" s="28" t="s">
        <v>1563</v>
      </c>
      <c r="G204" s="28" t="s">
        <v>291</v>
      </c>
      <c r="H204" s="28" t="s">
        <v>318</v>
      </c>
      <c r="I204" s="28" t="s">
        <v>405</v>
      </c>
      <c r="J204" s="28" t="s">
        <v>320</v>
      </c>
      <c r="K204" s="28" t="s">
        <v>1564</v>
      </c>
      <c r="L204" s="28" t="s">
        <v>187</v>
      </c>
      <c r="M204" s="28" t="s">
        <v>1565</v>
      </c>
      <c r="N204" s="28" t="s">
        <v>408</v>
      </c>
      <c r="O204" s="28" t="s">
        <v>1566</v>
      </c>
      <c r="P204" s="28" t="s">
        <v>187</v>
      </c>
    </row>
    <row r="205" spans="1:16" ht="35" x14ac:dyDescent="0.45">
      <c r="A205" s="28" t="s">
        <v>1567</v>
      </c>
      <c r="B205" s="28" t="s">
        <v>232</v>
      </c>
      <c r="C205" s="28" t="s">
        <v>233</v>
      </c>
      <c r="D205" s="28" t="s">
        <v>1534</v>
      </c>
      <c r="E205" s="32" t="s">
        <v>385</v>
      </c>
      <c r="F205" s="28" t="s">
        <v>1568</v>
      </c>
      <c r="G205" s="28" t="s">
        <v>187</v>
      </c>
      <c r="H205" s="28" t="s">
        <v>318</v>
      </c>
      <c r="I205" s="28" t="s">
        <v>397</v>
      </c>
      <c r="J205" s="28" t="s">
        <v>320</v>
      </c>
      <c r="K205" s="28" t="s">
        <v>1569</v>
      </c>
      <c r="L205" s="28" t="s">
        <v>1570</v>
      </c>
      <c r="M205" s="28" t="s">
        <v>1571</v>
      </c>
      <c r="N205" s="28" t="s">
        <v>1572</v>
      </c>
      <c r="O205" s="28" t="s">
        <v>354</v>
      </c>
      <c r="P205" s="28" t="s">
        <v>187</v>
      </c>
    </row>
    <row r="206" spans="1:16" ht="70" x14ac:dyDescent="0.45">
      <c r="A206" s="28" t="s">
        <v>1573</v>
      </c>
      <c r="B206" s="28" t="s">
        <v>232</v>
      </c>
      <c r="C206" s="28" t="s">
        <v>233</v>
      </c>
      <c r="D206" s="28" t="s">
        <v>1534</v>
      </c>
      <c r="E206" s="32" t="s">
        <v>385</v>
      </c>
      <c r="F206" s="28" t="s">
        <v>1574</v>
      </c>
      <c r="G206" s="28" t="s">
        <v>187</v>
      </c>
      <c r="H206" s="28" t="s">
        <v>318</v>
      </c>
      <c r="I206" s="28" t="s">
        <v>397</v>
      </c>
      <c r="J206" s="28" t="s">
        <v>320</v>
      </c>
      <c r="K206" s="28" t="s">
        <v>1575</v>
      </c>
      <c r="L206" s="28" t="s">
        <v>1576</v>
      </c>
      <c r="M206" s="28" t="s">
        <v>1577</v>
      </c>
      <c r="N206" s="28" t="s">
        <v>1578</v>
      </c>
      <c r="O206" s="28" t="s">
        <v>354</v>
      </c>
      <c r="P206" s="28" t="s">
        <v>187</v>
      </c>
    </row>
    <row r="207" spans="1:16" ht="52.5" x14ac:dyDescent="0.45">
      <c r="A207" s="28" t="s">
        <v>1579</v>
      </c>
      <c r="B207" s="28" t="s">
        <v>232</v>
      </c>
      <c r="C207" s="28" t="s">
        <v>233</v>
      </c>
      <c r="D207" s="28" t="s">
        <v>1534</v>
      </c>
      <c r="E207" s="32" t="s">
        <v>385</v>
      </c>
      <c r="F207" s="28" t="s">
        <v>1580</v>
      </c>
      <c r="G207" s="28" t="s">
        <v>187</v>
      </c>
      <c r="H207" s="28" t="s">
        <v>318</v>
      </c>
      <c r="I207" s="28" t="s">
        <v>397</v>
      </c>
      <c r="J207" s="28" t="s">
        <v>320</v>
      </c>
      <c r="K207" s="28" t="s">
        <v>1581</v>
      </c>
      <c r="L207" s="28" t="s">
        <v>1576</v>
      </c>
      <c r="M207" s="28" t="s">
        <v>1582</v>
      </c>
      <c r="N207" s="28" t="s">
        <v>1583</v>
      </c>
      <c r="O207" s="28" t="s">
        <v>354</v>
      </c>
      <c r="P207" s="28" t="s">
        <v>187</v>
      </c>
    </row>
    <row r="208" spans="1:16" ht="35" x14ac:dyDescent="0.45">
      <c r="A208" s="28" t="s">
        <v>1584</v>
      </c>
      <c r="B208" s="28" t="s">
        <v>232</v>
      </c>
      <c r="C208" s="28" t="s">
        <v>233</v>
      </c>
      <c r="D208" s="28" t="s">
        <v>1534</v>
      </c>
      <c r="E208" s="32" t="s">
        <v>385</v>
      </c>
      <c r="F208" s="28" t="s">
        <v>1585</v>
      </c>
      <c r="G208" s="28" t="s">
        <v>187</v>
      </c>
      <c r="H208" s="28" t="s">
        <v>318</v>
      </c>
      <c r="I208" s="28" t="s">
        <v>397</v>
      </c>
      <c r="J208" s="28" t="s">
        <v>320</v>
      </c>
      <c r="K208" s="28" t="s">
        <v>1586</v>
      </c>
      <c r="L208" s="28" t="s">
        <v>1587</v>
      </c>
      <c r="M208" s="28" t="s">
        <v>1588</v>
      </c>
      <c r="N208" s="28" t="s">
        <v>1589</v>
      </c>
      <c r="O208" s="28" t="s">
        <v>354</v>
      </c>
      <c r="P208" s="28" t="s">
        <v>187</v>
      </c>
    </row>
    <row r="209" spans="1:16" ht="70" x14ac:dyDescent="0.45">
      <c r="A209" s="28" t="s">
        <v>1590</v>
      </c>
      <c r="B209" s="28" t="s">
        <v>232</v>
      </c>
      <c r="C209" s="28" t="s">
        <v>233</v>
      </c>
      <c r="D209" s="28" t="s">
        <v>1534</v>
      </c>
      <c r="E209" s="32" t="s">
        <v>385</v>
      </c>
      <c r="F209" s="28" t="s">
        <v>1591</v>
      </c>
      <c r="G209" s="28" t="s">
        <v>187</v>
      </c>
      <c r="H209" s="28" t="s">
        <v>570</v>
      </c>
      <c r="I209" s="28" t="s">
        <v>571</v>
      </c>
      <c r="J209" s="28" t="s">
        <v>572</v>
      </c>
      <c r="K209" s="28" t="s">
        <v>1592</v>
      </c>
      <c r="L209" s="28" t="s">
        <v>187</v>
      </c>
      <c r="M209" s="28" t="s">
        <v>1593</v>
      </c>
      <c r="N209" s="28" t="s">
        <v>1594</v>
      </c>
      <c r="O209" s="28" t="s">
        <v>575</v>
      </c>
      <c r="P209" s="28" t="s">
        <v>187</v>
      </c>
    </row>
    <row r="210" spans="1:16" ht="35" x14ac:dyDescent="0.45">
      <c r="A210" s="28" t="s">
        <v>1595</v>
      </c>
      <c r="B210" s="28" t="s">
        <v>232</v>
      </c>
      <c r="C210" s="28" t="s">
        <v>233</v>
      </c>
      <c r="D210" s="28" t="s">
        <v>1596</v>
      </c>
      <c r="E210" s="30" t="s">
        <v>326</v>
      </c>
      <c r="F210" s="28" t="s">
        <v>1597</v>
      </c>
      <c r="G210" s="28" t="s">
        <v>291</v>
      </c>
      <c r="H210" s="28" t="s">
        <v>318</v>
      </c>
      <c r="I210" s="28" t="s">
        <v>319</v>
      </c>
      <c r="J210" s="28" t="s">
        <v>320</v>
      </c>
      <c r="K210" s="28" t="s">
        <v>1598</v>
      </c>
      <c r="L210" s="28" t="s">
        <v>1599</v>
      </c>
      <c r="M210" s="28" t="s">
        <v>1600</v>
      </c>
      <c r="N210" s="28" t="s">
        <v>408</v>
      </c>
      <c r="O210" s="28" t="s">
        <v>1601</v>
      </c>
      <c r="P210" s="28" t="s">
        <v>1602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F543"/>
  <sheetViews>
    <sheetView showGridLines="0" workbookViewId="0">
      <pane xSplit="4" ySplit="4" topLeftCell="E12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2" width="22" customWidth="1"/>
    <col min="3" max="3" width="32" customWidth="1"/>
    <col min="4" max="4" width="30" customWidth="1"/>
    <col min="5" max="5" width="100" customWidth="1"/>
    <col min="6" max="6" width="40" customWidth="1"/>
  </cols>
  <sheetData>
    <row r="1" spans="1:6" ht="20" x14ac:dyDescent="0.4">
      <c r="A1" s="1" t="s">
        <v>1603</v>
      </c>
    </row>
    <row r="2" spans="1:6" x14ac:dyDescent="0.35">
      <c r="A2" s="2" t="s">
        <v>1604</v>
      </c>
    </row>
    <row r="4" spans="1:6" x14ac:dyDescent="0.35">
      <c r="A4" s="8" t="s">
        <v>164</v>
      </c>
      <c r="B4" s="8" t="s">
        <v>154</v>
      </c>
      <c r="C4" s="8" t="s">
        <v>1605</v>
      </c>
      <c r="D4" s="8" t="s">
        <v>1606</v>
      </c>
      <c r="E4" s="8" t="s">
        <v>1607</v>
      </c>
      <c r="F4" s="8" t="s">
        <v>1608</v>
      </c>
    </row>
    <row r="5" spans="1:6" x14ac:dyDescent="0.35">
      <c r="A5" s="10" t="s">
        <v>195</v>
      </c>
      <c r="B5" s="10" t="s">
        <v>1609</v>
      </c>
      <c r="C5" s="10" t="s">
        <v>1610</v>
      </c>
      <c r="D5" s="10" t="s">
        <v>1611</v>
      </c>
      <c r="E5" s="10" t="s">
        <v>1612</v>
      </c>
      <c r="F5" s="10" t="s">
        <v>187</v>
      </c>
    </row>
    <row r="6" spans="1:6" x14ac:dyDescent="0.35">
      <c r="A6" s="10" t="s">
        <v>195</v>
      </c>
      <c r="B6" s="10" t="s">
        <v>1609</v>
      </c>
      <c r="C6" s="10" t="s">
        <v>1610</v>
      </c>
      <c r="D6" s="10" t="s">
        <v>1613</v>
      </c>
      <c r="E6" s="10" t="s">
        <v>1614</v>
      </c>
      <c r="F6" s="10" t="s">
        <v>187</v>
      </c>
    </row>
    <row r="7" spans="1:6" x14ac:dyDescent="0.35">
      <c r="A7" s="10" t="s">
        <v>195</v>
      </c>
      <c r="B7" s="10" t="s">
        <v>1609</v>
      </c>
      <c r="C7" s="10" t="s">
        <v>1610</v>
      </c>
      <c r="D7" s="10" t="s">
        <v>1615</v>
      </c>
      <c r="E7" s="10" t="s">
        <v>1616</v>
      </c>
      <c r="F7" s="10" t="s">
        <v>187</v>
      </c>
    </row>
    <row r="8" spans="1:6" x14ac:dyDescent="0.35">
      <c r="A8" s="10" t="s">
        <v>195</v>
      </c>
      <c r="B8" s="10" t="s">
        <v>1609</v>
      </c>
      <c r="C8" s="10" t="s">
        <v>1610</v>
      </c>
      <c r="D8" s="10" t="s">
        <v>1617</v>
      </c>
      <c r="E8" s="10" t="s">
        <v>1618</v>
      </c>
      <c r="F8" s="10" t="s">
        <v>187</v>
      </c>
    </row>
    <row r="9" spans="1:6" x14ac:dyDescent="0.35">
      <c r="A9" s="10" t="s">
        <v>195</v>
      </c>
      <c r="B9" s="10" t="s">
        <v>1609</v>
      </c>
      <c r="C9" s="10" t="s">
        <v>1610</v>
      </c>
      <c r="D9" s="10" t="s">
        <v>1619</v>
      </c>
      <c r="E9" s="10" t="s">
        <v>1620</v>
      </c>
      <c r="F9" s="10" t="s">
        <v>187</v>
      </c>
    </row>
    <row r="10" spans="1:6" x14ac:dyDescent="0.35">
      <c r="A10" s="10" t="s">
        <v>195</v>
      </c>
      <c r="B10" s="10" t="s">
        <v>1609</v>
      </c>
      <c r="C10" s="10" t="s">
        <v>1610</v>
      </c>
      <c r="D10" s="10" t="s">
        <v>1621</v>
      </c>
      <c r="E10" s="10" t="s">
        <v>1622</v>
      </c>
      <c r="F10" s="10" t="s">
        <v>187</v>
      </c>
    </row>
    <row r="11" spans="1:6" x14ac:dyDescent="0.35">
      <c r="A11" s="10" t="s">
        <v>195</v>
      </c>
      <c r="B11" s="10" t="s">
        <v>1609</v>
      </c>
      <c r="C11" s="10" t="s">
        <v>1610</v>
      </c>
      <c r="D11" s="10" t="s">
        <v>1623</v>
      </c>
      <c r="E11" s="10" t="s">
        <v>1624</v>
      </c>
      <c r="F11" s="10" t="s">
        <v>187</v>
      </c>
    </row>
    <row r="12" spans="1:6" x14ac:dyDescent="0.35">
      <c r="A12" s="10" t="s">
        <v>195</v>
      </c>
      <c r="B12" s="10" t="s">
        <v>1609</v>
      </c>
      <c r="C12" s="10" t="s">
        <v>1625</v>
      </c>
      <c r="D12" s="10" t="s">
        <v>1626</v>
      </c>
      <c r="E12" s="10" t="s">
        <v>1627</v>
      </c>
      <c r="F12" s="10" t="s">
        <v>187</v>
      </c>
    </row>
    <row r="13" spans="1:6" x14ac:dyDescent="0.35">
      <c r="A13" s="10" t="s">
        <v>195</v>
      </c>
      <c r="B13" s="10" t="s">
        <v>1609</v>
      </c>
      <c r="C13" s="10" t="s">
        <v>1625</v>
      </c>
      <c r="D13" s="10" t="s">
        <v>1628</v>
      </c>
      <c r="E13" s="10" t="s">
        <v>1629</v>
      </c>
      <c r="F13" s="10" t="s">
        <v>187</v>
      </c>
    </row>
    <row r="14" spans="1:6" x14ac:dyDescent="0.35">
      <c r="A14" s="10" t="s">
        <v>195</v>
      </c>
      <c r="B14" s="10" t="s">
        <v>1609</v>
      </c>
      <c r="C14" s="10" t="s">
        <v>1625</v>
      </c>
      <c r="D14" s="10" t="s">
        <v>1630</v>
      </c>
      <c r="E14" s="10" t="s">
        <v>1631</v>
      </c>
      <c r="F14" s="10" t="s">
        <v>187</v>
      </c>
    </row>
    <row r="15" spans="1:6" x14ac:dyDescent="0.35">
      <c r="A15" s="10" t="s">
        <v>195</v>
      </c>
      <c r="B15" s="10" t="s">
        <v>1609</v>
      </c>
      <c r="C15" s="10" t="s">
        <v>1632</v>
      </c>
      <c r="D15" s="10" t="s">
        <v>1633</v>
      </c>
      <c r="E15" s="10" t="s">
        <v>1634</v>
      </c>
      <c r="F15" s="10" t="s">
        <v>187</v>
      </c>
    </row>
    <row r="16" spans="1:6" x14ac:dyDescent="0.35">
      <c r="A16" s="10" t="s">
        <v>195</v>
      </c>
      <c r="B16" s="10" t="s">
        <v>1609</v>
      </c>
      <c r="C16" s="10" t="s">
        <v>1632</v>
      </c>
      <c r="D16" s="10" t="s">
        <v>1635</v>
      </c>
      <c r="E16" s="10" t="s">
        <v>1636</v>
      </c>
      <c r="F16" s="10" t="s">
        <v>187</v>
      </c>
    </row>
    <row r="17" spans="1:6" x14ac:dyDescent="0.35">
      <c r="A17" s="10" t="s">
        <v>195</v>
      </c>
      <c r="B17" s="10" t="s">
        <v>1609</v>
      </c>
      <c r="C17" s="10" t="s">
        <v>1637</v>
      </c>
      <c r="D17" s="10" t="s">
        <v>1638</v>
      </c>
      <c r="E17" s="10" t="s">
        <v>1639</v>
      </c>
      <c r="F17" s="10" t="s">
        <v>187</v>
      </c>
    </row>
    <row r="18" spans="1:6" x14ac:dyDescent="0.35">
      <c r="A18" s="10" t="s">
        <v>195</v>
      </c>
      <c r="B18" s="10" t="s">
        <v>1609</v>
      </c>
      <c r="C18" s="10" t="s">
        <v>1637</v>
      </c>
      <c r="D18" s="10" t="s">
        <v>1640</v>
      </c>
      <c r="E18" s="10" t="s">
        <v>1641</v>
      </c>
      <c r="F18" s="10" t="s">
        <v>187</v>
      </c>
    </row>
    <row r="19" spans="1:6" x14ac:dyDescent="0.35">
      <c r="A19" s="10" t="s">
        <v>195</v>
      </c>
      <c r="B19" s="10" t="s">
        <v>1609</v>
      </c>
      <c r="C19" s="10" t="s">
        <v>1637</v>
      </c>
      <c r="D19" s="10" t="s">
        <v>1642</v>
      </c>
      <c r="E19" s="10" t="s">
        <v>1643</v>
      </c>
      <c r="F19" s="10" t="s">
        <v>187</v>
      </c>
    </row>
    <row r="20" spans="1:6" x14ac:dyDescent="0.35">
      <c r="A20" s="10" t="s">
        <v>195</v>
      </c>
      <c r="B20" s="10" t="s">
        <v>1609</v>
      </c>
      <c r="C20" s="10" t="s">
        <v>1637</v>
      </c>
      <c r="D20" s="10" t="s">
        <v>1644</v>
      </c>
      <c r="E20" s="10" t="s">
        <v>1645</v>
      </c>
      <c r="F20" s="10" t="s">
        <v>187</v>
      </c>
    </row>
    <row r="21" spans="1:6" x14ac:dyDescent="0.35">
      <c r="A21" s="10" t="s">
        <v>195</v>
      </c>
      <c r="B21" s="10" t="s">
        <v>1609</v>
      </c>
      <c r="C21" s="10" t="s">
        <v>1637</v>
      </c>
      <c r="D21" s="10" t="s">
        <v>1646</v>
      </c>
      <c r="E21" s="10" t="s">
        <v>1647</v>
      </c>
      <c r="F21" s="10" t="s">
        <v>187</v>
      </c>
    </row>
    <row r="22" spans="1:6" x14ac:dyDescent="0.35">
      <c r="A22" s="10" t="s">
        <v>195</v>
      </c>
      <c r="B22" s="10" t="s">
        <v>1609</v>
      </c>
      <c r="C22" s="10" t="s">
        <v>1637</v>
      </c>
      <c r="D22" s="10" t="s">
        <v>1648</v>
      </c>
      <c r="E22" s="10" t="s">
        <v>1649</v>
      </c>
      <c r="F22" s="10" t="s">
        <v>187</v>
      </c>
    </row>
    <row r="23" spans="1:6" x14ac:dyDescent="0.35">
      <c r="A23" s="10" t="s">
        <v>195</v>
      </c>
      <c r="B23" s="10" t="s">
        <v>1650</v>
      </c>
      <c r="C23" s="10" t="s">
        <v>1651</v>
      </c>
      <c r="D23" s="10" t="s">
        <v>1611</v>
      </c>
      <c r="E23" s="10" t="s">
        <v>1652</v>
      </c>
      <c r="F23" s="10" t="s">
        <v>187</v>
      </c>
    </row>
    <row r="24" spans="1:6" x14ac:dyDescent="0.35">
      <c r="A24" s="10" t="s">
        <v>195</v>
      </c>
      <c r="B24" s="10" t="s">
        <v>1650</v>
      </c>
      <c r="C24" s="10" t="s">
        <v>1651</v>
      </c>
      <c r="D24" s="10" t="s">
        <v>1613</v>
      </c>
      <c r="E24" s="10" t="s">
        <v>1653</v>
      </c>
      <c r="F24" s="10" t="s">
        <v>187</v>
      </c>
    </row>
    <row r="25" spans="1:6" x14ac:dyDescent="0.35">
      <c r="A25" s="10" t="s">
        <v>195</v>
      </c>
      <c r="B25" s="10" t="s">
        <v>1650</v>
      </c>
      <c r="C25" s="10" t="s">
        <v>1651</v>
      </c>
      <c r="D25" s="10" t="s">
        <v>1615</v>
      </c>
      <c r="E25" s="10" t="s">
        <v>1654</v>
      </c>
      <c r="F25" s="10" t="s">
        <v>187</v>
      </c>
    </row>
    <row r="26" spans="1:6" x14ac:dyDescent="0.35">
      <c r="A26" s="10" t="s">
        <v>195</v>
      </c>
      <c r="B26" s="10" t="s">
        <v>1650</v>
      </c>
      <c r="C26" s="10" t="s">
        <v>1651</v>
      </c>
      <c r="D26" s="10" t="s">
        <v>1617</v>
      </c>
      <c r="E26" s="10" t="s">
        <v>1655</v>
      </c>
      <c r="F26" s="10" t="s">
        <v>187</v>
      </c>
    </row>
    <row r="27" spans="1:6" x14ac:dyDescent="0.35">
      <c r="A27" s="10" t="s">
        <v>195</v>
      </c>
      <c r="B27" s="10" t="s">
        <v>1650</v>
      </c>
      <c r="C27" s="10" t="s">
        <v>1651</v>
      </c>
      <c r="D27" s="10" t="s">
        <v>1656</v>
      </c>
      <c r="E27" s="10" t="s">
        <v>1657</v>
      </c>
      <c r="F27" s="10" t="s">
        <v>187</v>
      </c>
    </row>
    <row r="28" spans="1:6" x14ac:dyDescent="0.35">
      <c r="A28" s="10" t="s">
        <v>195</v>
      </c>
      <c r="B28" s="10" t="s">
        <v>1650</v>
      </c>
      <c r="C28" s="10" t="s">
        <v>1651</v>
      </c>
      <c r="D28" s="10" t="s">
        <v>1658</v>
      </c>
      <c r="E28" s="10" t="s">
        <v>1659</v>
      </c>
      <c r="F28" s="10" t="s">
        <v>187</v>
      </c>
    </row>
    <row r="29" spans="1:6" x14ac:dyDescent="0.35">
      <c r="A29" s="10" t="s">
        <v>195</v>
      </c>
      <c r="B29" s="10" t="s">
        <v>1650</v>
      </c>
      <c r="C29" s="10" t="s">
        <v>1651</v>
      </c>
      <c r="D29" s="10" t="s">
        <v>1623</v>
      </c>
      <c r="E29" s="10" t="s">
        <v>1660</v>
      </c>
      <c r="F29" s="10" t="s">
        <v>187</v>
      </c>
    </row>
    <row r="30" spans="1:6" x14ac:dyDescent="0.35">
      <c r="A30" s="10" t="s">
        <v>195</v>
      </c>
      <c r="B30" s="10" t="s">
        <v>1650</v>
      </c>
      <c r="C30" s="10" t="s">
        <v>1661</v>
      </c>
      <c r="D30" s="10" t="s">
        <v>1662</v>
      </c>
      <c r="E30" s="10" t="s">
        <v>1663</v>
      </c>
      <c r="F30" s="10" t="s">
        <v>187</v>
      </c>
    </row>
    <row r="31" spans="1:6" x14ac:dyDescent="0.35">
      <c r="A31" s="10" t="s">
        <v>195</v>
      </c>
      <c r="B31" s="10" t="s">
        <v>1650</v>
      </c>
      <c r="C31" s="10" t="s">
        <v>1661</v>
      </c>
      <c r="D31" s="10" t="s">
        <v>1626</v>
      </c>
      <c r="E31" s="10" t="s">
        <v>1664</v>
      </c>
      <c r="F31" s="10" t="s">
        <v>187</v>
      </c>
    </row>
    <row r="32" spans="1:6" x14ac:dyDescent="0.35">
      <c r="A32" s="10" t="s">
        <v>195</v>
      </c>
      <c r="B32" s="10" t="s">
        <v>1650</v>
      </c>
      <c r="C32" s="10" t="s">
        <v>1661</v>
      </c>
      <c r="D32" s="10" t="s">
        <v>1665</v>
      </c>
      <c r="E32" s="10" t="s">
        <v>1666</v>
      </c>
      <c r="F32" s="10" t="s">
        <v>187</v>
      </c>
    </row>
    <row r="33" spans="1:6" ht="25" x14ac:dyDescent="0.35">
      <c r="A33" s="10" t="s">
        <v>195</v>
      </c>
      <c r="B33" s="10" t="s">
        <v>1667</v>
      </c>
      <c r="C33" s="10" t="s">
        <v>1668</v>
      </c>
      <c r="D33" s="10" t="s">
        <v>1669</v>
      </c>
      <c r="E33" s="10" t="s">
        <v>1670</v>
      </c>
      <c r="F33" s="10" t="s">
        <v>187</v>
      </c>
    </row>
    <row r="34" spans="1:6" x14ac:dyDescent="0.35">
      <c r="A34" s="10" t="s">
        <v>195</v>
      </c>
      <c r="B34" s="10" t="s">
        <v>1650</v>
      </c>
      <c r="C34" s="10" t="s">
        <v>1671</v>
      </c>
      <c r="D34" s="10" t="s">
        <v>1662</v>
      </c>
      <c r="E34" s="10" t="s">
        <v>1672</v>
      </c>
      <c r="F34" s="10" t="s">
        <v>187</v>
      </c>
    </row>
    <row r="35" spans="1:6" x14ac:dyDescent="0.35">
      <c r="A35" s="10" t="s">
        <v>195</v>
      </c>
      <c r="B35" s="10" t="s">
        <v>1650</v>
      </c>
      <c r="C35" s="10" t="s">
        <v>1671</v>
      </c>
      <c r="D35" s="10" t="s">
        <v>1635</v>
      </c>
      <c r="E35" s="10" t="s">
        <v>1673</v>
      </c>
      <c r="F35" s="10" t="s">
        <v>187</v>
      </c>
    </row>
    <row r="36" spans="1:6" x14ac:dyDescent="0.35">
      <c r="A36" s="10" t="s">
        <v>195</v>
      </c>
      <c r="B36" s="10" t="s">
        <v>1650</v>
      </c>
      <c r="C36" s="10" t="s">
        <v>1674</v>
      </c>
      <c r="D36" s="10" t="s">
        <v>1675</v>
      </c>
      <c r="E36" s="10" t="s">
        <v>1676</v>
      </c>
      <c r="F36" s="10" t="s">
        <v>187</v>
      </c>
    </row>
    <row r="37" spans="1:6" x14ac:dyDescent="0.35">
      <c r="A37" s="10" t="s">
        <v>195</v>
      </c>
      <c r="B37" s="10" t="s">
        <v>1650</v>
      </c>
      <c r="C37" s="10" t="s">
        <v>1674</v>
      </c>
      <c r="D37" s="10" t="s">
        <v>1640</v>
      </c>
      <c r="E37" s="10" t="s">
        <v>1677</v>
      </c>
      <c r="F37" s="10" t="s">
        <v>187</v>
      </c>
    </row>
    <row r="38" spans="1:6" x14ac:dyDescent="0.35">
      <c r="A38" s="10" t="s">
        <v>195</v>
      </c>
      <c r="B38" s="10" t="s">
        <v>1650</v>
      </c>
      <c r="C38" s="10" t="s">
        <v>1674</v>
      </c>
      <c r="D38" s="10" t="s">
        <v>1678</v>
      </c>
      <c r="E38" s="10" t="s">
        <v>1679</v>
      </c>
      <c r="F38" s="10" t="s">
        <v>187</v>
      </c>
    </row>
    <row r="39" spans="1:6" x14ac:dyDescent="0.35">
      <c r="A39" s="10" t="s">
        <v>195</v>
      </c>
      <c r="B39" s="10" t="s">
        <v>1650</v>
      </c>
      <c r="C39" s="10" t="s">
        <v>1674</v>
      </c>
      <c r="D39" s="10" t="s">
        <v>1644</v>
      </c>
      <c r="E39" s="10" t="s">
        <v>1680</v>
      </c>
      <c r="F39" s="10" t="s">
        <v>187</v>
      </c>
    </row>
    <row r="40" spans="1:6" x14ac:dyDescent="0.35">
      <c r="A40" s="10" t="s">
        <v>195</v>
      </c>
      <c r="B40" s="10" t="s">
        <v>1650</v>
      </c>
      <c r="C40" s="10" t="s">
        <v>1674</v>
      </c>
      <c r="D40" s="10" t="s">
        <v>1646</v>
      </c>
      <c r="E40" s="10" t="s">
        <v>1681</v>
      </c>
      <c r="F40" s="10" t="s">
        <v>187</v>
      </c>
    </row>
    <row r="41" spans="1:6" x14ac:dyDescent="0.35">
      <c r="A41" s="10" t="s">
        <v>195</v>
      </c>
      <c r="B41" s="10" t="s">
        <v>1650</v>
      </c>
      <c r="C41" s="10" t="s">
        <v>1674</v>
      </c>
      <c r="D41" s="10" t="s">
        <v>1648</v>
      </c>
      <c r="E41" s="10" t="s">
        <v>1682</v>
      </c>
      <c r="F41" s="10" t="s">
        <v>187</v>
      </c>
    </row>
    <row r="42" spans="1:6" ht="25" x14ac:dyDescent="0.35">
      <c r="A42" s="10" t="s">
        <v>195</v>
      </c>
      <c r="B42" s="10" t="s">
        <v>1683</v>
      </c>
      <c r="C42" s="10" t="s">
        <v>1684</v>
      </c>
      <c r="D42" s="10" t="s">
        <v>1685</v>
      </c>
      <c r="E42" s="10" t="s">
        <v>1686</v>
      </c>
      <c r="F42" s="10" t="s">
        <v>187</v>
      </c>
    </row>
    <row r="43" spans="1:6" x14ac:dyDescent="0.35">
      <c r="A43" s="10" t="s">
        <v>207</v>
      </c>
      <c r="B43" s="10" t="s">
        <v>1609</v>
      </c>
      <c r="C43" s="10" t="s">
        <v>1687</v>
      </c>
      <c r="D43" s="10" t="s">
        <v>1688</v>
      </c>
      <c r="E43" s="10" t="s">
        <v>1689</v>
      </c>
      <c r="F43" s="10" t="s">
        <v>187</v>
      </c>
    </row>
    <row r="44" spans="1:6" x14ac:dyDescent="0.35">
      <c r="A44" s="10" t="s">
        <v>207</v>
      </c>
      <c r="B44" s="10" t="s">
        <v>1609</v>
      </c>
      <c r="C44" s="10" t="s">
        <v>1687</v>
      </c>
      <c r="D44" s="10" t="s">
        <v>1690</v>
      </c>
      <c r="E44" s="10" t="s">
        <v>1691</v>
      </c>
      <c r="F44" s="10" t="s">
        <v>187</v>
      </c>
    </row>
    <row r="45" spans="1:6" x14ac:dyDescent="0.35">
      <c r="A45" s="10" t="s">
        <v>207</v>
      </c>
      <c r="B45" s="10" t="s">
        <v>1609</v>
      </c>
      <c r="C45" s="10" t="s">
        <v>1692</v>
      </c>
      <c r="D45" s="10" t="s">
        <v>1693</v>
      </c>
      <c r="E45" s="10" t="s">
        <v>1694</v>
      </c>
      <c r="F45" s="10" t="s">
        <v>187</v>
      </c>
    </row>
    <row r="46" spans="1:6" x14ac:dyDescent="0.35">
      <c r="A46" s="10" t="s">
        <v>207</v>
      </c>
      <c r="B46" s="10" t="s">
        <v>1609</v>
      </c>
      <c r="C46" s="10" t="s">
        <v>1692</v>
      </c>
      <c r="D46" s="10" t="s">
        <v>1695</v>
      </c>
      <c r="E46" s="10" t="s">
        <v>1696</v>
      </c>
      <c r="F46" s="10" t="s">
        <v>187</v>
      </c>
    </row>
    <row r="47" spans="1:6" x14ac:dyDescent="0.35">
      <c r="A47" s="10" t="s">
        <v>207</v>
      </c>
      <c r="B47" s="10" t="s">
        <v>1609</v>
      </c>
      <c r="C47" s="10" t="s">
        <v>1692</v>
      </c>
      <c r="D47" s="10" t="s">
        <v>1697</v>
      </c>
      <c r="E47" s="10" t="s">
        <v>1698</v>
      </c>
      <c r="F47" s="10" t="s">
        <v>187</v>
      </c>
    </row>
    <row r="48" spans="1:6" x14ac:dyDescent="0.35">
      <c r="A48" s="10" t="s">
        <v>207</v>
      </c>
      <c r="B48" s="10" t="s">
        <v>1609</v>
      </c>
      <c r="C48" s="10" t="s">
        <v>1692</v>
      </c>
      <c r="D48" s="10" t="s">
        <v>1699</v>
      </c>
      <c r="E48" s="10" t="s">
        <v>1700</v>
      </c>
      <c r="F48" s="10" t="s">
        <v>187</v>
      </c>
    </row>
    <row r="49" spans="1:6" x14ac:dyDescent="0.35">
      <c r="A49" s="10" t="s">
        <v>207</v>
      </c>
      <c r="B49" s="10" t="s">
        <v>1609</v>
      </c>
      <c r="C49" s="10" t="s">
        <v>1692</v>
      </c>
      <c r="D49" s="10" t="s">
        <v>1701</v>
      </c>
      <c r="E49" s="10" t="s">
        <v>1702</v>
      </c>
      <c r="F49" s="10" t="s">
        <v>187</v>
      </c>
    </row>
    <row r="50" spans="1:6" x14ac:dyDescent="0.35">
      <c r="A50" s="10" t="s">
        <v>207</v>
      </c>
      <c r="B50" s="10" t="s">
        <v>1609</v>
      </c>
      <c r="C50" s="10" t="s">
        <v>1692</v>
      </c>
      <c r="D50" s="10" t="s">
        <v>1703</v>
      </c>
      <c r="E50" s="10" t="s">
        <v>1704</v>
      </c>
      <c r="F50" s="10" t="s">
        <v>187</v>
      </c>
    </row>
    <row r="51" spans="1:6" x14ac:dyDescent="0.35">
      <c r="A51" s="10" t="s">
        <v>207</v>
      </c>
      <c r="B51" s="10" t="s">
        <v>1609</v>
      </c>
      <c r="C51" s="10" t="s">
        <v>1692</v>
      </c>
      <c r="D51" s="10" t="s">
        <v>1705</v>
      </c>
      <c r="E51" s="10" t="s">
        <v>1706</v>
      </c>
      <c r="F51" s="10" t="s">
        <v>187</v>
      </c>
    </row>
    <row r="52" spans="1:6" x14ac:dyDescent="0.35">
      <c r="A52" s="10" t="s">
        <v>207</v>
      </c>
      <c r="B52" s="10" t="s">
        <v>1609</v>
      </c>
      <c r="C52" s="10" t="s">
        <v>1692</v>
      </c>
      <c r="D52" s="10" t="s">
        <v>1707</v>
      </c>
      <c r="E52" s="10" t="s">
        <v>1708</v>
      </c>
      <c r="F52" s="10" t="s">
        <v>187</v>
      </c>
    </row>
    <row r="53" spans="1:6" x14ac:dyDescent="0.35">
      <c r="A53" s="10" t="s">
        <v>207</v>
      </c>
      <c r="B53" s="10" t="s">
        <v>1609</v>
      </c>
      <c r="C53" s="10" t="s">
        <v>1692</v>
      </c>
      <c r="D53" s="10" t="s">
        <v>1709</v>
      </c>
      <c r="E53" s="10" t="s">
        <v>1710</v>
      </c>
      <c r="F53" s="10" t="s">
        <v>187</v>
      </c>
    </row>
    <row r="54" spans="1:6" x14ac:dyDescent="0.35">
      <c r="A54" s="10" t="s">
        <v>207</v>
      </c>
      <c r="B54" s="10" t="s">
        <v>1609</v>
      </c>
      <c r="C54" s="10" t="s">
        <v>1692</v>
      </c>
      <c r="D54" s="10" t="s">
        <v>1711</v>
      </c>
      <c r="E54" s="10" t="s">
        <v>1712</v>
      </c>
      <c r="F54" s="10" t="s">
        <v>187</v>
      </c>
    </row>
    <row r="55" spans="1:6" x14ac:dyDescent="0.35">
      <c r="A55" s="10" t="s">
        <v>207</v>
      </c>
      <c r="B55" s="10" t="s">
        <v>1609</v>
      </c>
      <c r="C55" s="10" t="s">
        <v>1692</v>
      </c>
      <c r="D55" s="10" t="s">
        <v>1713</v>
      </c>
      <c r="E55" s="10" t="s">
        <v>1714</v>
      </c>
      <c r="F55" s="10" t="s">
        <v>187</v>
      </c>
    </row>
    <row r="56" spans="1:6" x14ac:dyDescent="0.35">
      <c r="A56" s="10" t="s">
        <v>207</v>
      </c>
      <c r="B56" s="10" t="s">
        <v>1609</v>
      </c>
      <c r="C56" s="10" t="s">
        <v>1692</v>
      </c>
      <c r="D56" s="10" t="s">
        <v>1715</v>
      </c>
      <c r="E56" s="10" t="s">
        <v>1716</v>
      </c>
      <c r="F56" s="10" t="s">
        <v>187</v>
      </c>
    </row>
    <row r="57" spans="1:6" x14ac:dyDescent="0.35">
      <c r="A57" s="10" t="s">
        <v>207</v>
      </c>
      <c r="B57" s="10" t="s">
        <v>1609</v>
      </c>
      <c r="C57" s="10" t="s">
        <v>1692</v>
      </c>
      <c r="D57" s="10" t="s">
        <v>1717</v>
      </c>
      <c r="E57" s="10" t="s">
        <v>1718</v>
      </c>
      <c r="F57" s="10" t="s">
        <v>187</v>
      </c>
    </row>
    <row r="58" spans="1:6" x14ac:dyDescent="0.35">
      <c r="A58" s="10" t="s">
        <v>207</v>
      </c>
      <c r="B58" s="10" t="s">
        <v>1609</v>
      </c>
      <c r="C58" s="10" t="s">
        <v>1692</v>
      </c>
      <c r="D58" s="10" t="s">
        <v>1719</v>
      </c>
      <c r="E58" s="10" t="s">
        <v>1720</v>
      </c>
      <c r="F58" s="10" t="s">
        <v>187</v>
      </c>
    </row>
    <row r="59" spans="1:6" x14ac:dyDescent="0.35">
      <c r="A59" s="10" t="s">
        <v>207</v>
      </c>
      <c r="B59" s="10" t="s">
        <v>1609</v>
      </c>
      <c r="C59" s="10" t="s">
        <v>1692</v>
      </c>
      <c r="D59" s="10" t="s">
        <v>1721</v>
      </c>
      <c r="E59" s="10" t="s">
        <v>1722</v>
      </c>
      <c r="F59" s="10" t="s">
        <v>187</v>
      </c>
    </row>
    <row r="60" spans="1:6" x14ac:dyDescent="0.35">
      <c r="A60" s="10" t="s">
        <v>207</v>
      </c>
      <c r="B60" s="10" t="s">
        <v>1609</v>
      </c>
      <c r="C60" s="10" t="s">
        <v>1723</v>
      </c>
      <c r="D60" s="10" t="s">
        <v>1724</v>
      </c>
      <c r="E60" s="10" t="s">
        <v>1725</v>
      </c>
      <c r="F60" s="10" t="s">
        <v>187</v>
      </c>
    </row>
    <row r="61" spans="1:6" x14ac:dyDescent="0.35">
      <c r="A61" s="10" t="s">
        <v>207</v>
      </c>
      <c r="B61" s="10" t="s">
        <v>1609</v>
      </c>
      <c r="C61" s="10" t="s">
        <v>1723</v>
      </c>
      <c r="D61" s="10" t="s">
        <v>1726</v>
      </c>
      <c r="E61" s="10" t="s">
        <v>1727</v>
      </c>
      <c r="F61" s="10" t="s">
        <v>187</v>
      </c>
    </row>
    <row r="62" spans="1:6" x14ac:dyDescent="0.35">
      <c r="A62" s="10" t="s">
        <v>207</v>
      </c>
      <c r="B62" s="10" t="s">
        <v>1609</v>
      </c>
      <c r="C62" s="10" t="s">
        <v>1723</v>
      </c>
      <c r="D62" s="10" t="s">
        <v>1728</v>
      </c>
      <c r="E62" s="10" t="s">
        <v>1729</v>
      </c>
      <c r="F62" s="10" t="s">
        <v>187</v>
      </c>
    </row>
    <row r="63" spans="1:6" x14ac:dyDescent="0.35">
      <c r="A63" s="10" t="s">
        <v>207</v>
      </c>
      <c r="B63" s="10" t="s">
        <v>1609</v>
      </c>
      <c r="C63" s="10" t="s">
        <v>1723</v>
      </c>
      <c r="D63" s="10" t="s">
        <v>1730</v>
      </c>
      <c r="E63" s="10" t="s">
        <v>1731</v>
      </c>
      <c r="F63" s="10" t="s">
        <v>187</v>
      </c>
    </row>
    <row r="64" spans="1:6" x14ac:dyDescent="0.35">
      <c r="A64" s="10" t="s">
        <v>207</v>
      </c>
      <c r="B64" s="10" t="s">
        <v>1609</v>
      </c>
      <c r="C64" s="10" t="s">
        <v>1732</v>
      </c>
      <c r="D64" s="10" t="s">
        <v>1733</v>
      </c>
      <c r="E64" s="10" t="s">
        <v>1734</v>
      </c>
      <c r="F64" s="10" t="s">
        <v>187</v>
      </c>
    </row>
    <row r="65" spans="1:6" x14ac:dyDescent="0.35">
      <c r="A65" s="10" t="s">
        <v>207</v>
      </c>
      <c r="B65" s="10" t="s">
        <v>1609</v>
      </c>
      <c r="C65" s="10" t="s">
        <v>1732</v>
      </c>
      <c r="D65" s="10" t="s">
        <v>1735</v>
      </c>
      <c r="E65" s="10" t="s">
        <v>1736</v>
      </c>
      <c r="F65" s="10" t="s">
        <v>187</v>
      </c>
    </row>
    <row r="66" spans="1:6" x14ac:dyDescent="0.35">
      <c r="A66" s="10" t="s">
        <v>207</v>
      </c>
      <c r="B66" s="10" t="s">
        <v>1609</v>
      </c>
      <c r="C66" s="10" t="s">
        <v>1732</v>
      </c>
      <c r="D66" s="10" t="s">
        <v>1737</v>
      </c>
      <c r="E66" s="10" t="s">
        <v>1738</v>
      </c>
      <c r="F66" s="10" t="s">
        <v>187</v>
      </c>
    </row>
    <row r="67" spans="1:6" x14ac:dyDescent="0.35">
      <c r="A67" s="10" t="s">
        <v>207</v>
      </c>
      <c r="B67" s="10" t="s">
        <v>1609</v>
      </c>
      <c r="C67" s="10" t="s">
        <v>1732</v>
      </c>
      <c r="D67" s="10" t="s">
        <v>1739</v>
      </c>
      <c r="E67" s="10" t="s">
        <v>1740</v>
      </c>
      <c r="F67" s="10" t="s">
        <v>187</v>
      </c>
    </row>
    <row r="68" spans="1:6" x14ac:dyDescent="0.35">
      <c r="A68" s="10" t="s">
        <v>207</v>
      </c>
      <c r="B68" s="10" t="s">
        <v>1609</v>
      </c>
      <c r="C68" s="10" t="s">
        <v>1732</v>
      </c>
      <c r="D68" s="10" t="s">
        <v>1741</v>
      </c>
      <c r="E68" s="10" t="s">
        <v>1742</v>
      </c>
      <c r="F68" s="10" t="s">
        <v>187</v>
      </c>
    </row>
    <row r="69" spans="1:6" x14ac:dyDescent="0.35">
      <c r="A69" s="10" t="s">
        <v>207</v>
      </c>
      <c r="B69" s="10" t="s">
        <v>1609</v>
      </c>
      <c r="C69" s="10" t="s">
        <v>1732</v>
      </c>
      <c r="D69" s="10" t="s">
        <v>1743</v>
      </c>
      <c r="E69" s="10" t="s">
        <v>1744</v>
      </c>
      <c r="F69" s="10" t="s">
        <v>187</v>
      </c>
    </row>
    <row r="70" spans="1:6" x14ac:dyDescent="0.35">
      <c r="A70" s="10" t="s">
        <v>207</v>
      </c>
      <c r="B70" s="10" t="s">
        <v>1609</v>
      </c>
      <c r="C70" s="10" t="s">
        <v>1732</v>
      </c>
      <c r="D70" s="10" t="s">
        <v>1648</v>
      </c>
      <c r="E70" s="10" t="s">
        <v>1649</v>
      </c>
      <c r="F70" s="10" t="s">
        <v>187</v>
      </c>
    </row>
    <row r="71" spans="1:6" x14ac:dyDescent="0.35">
      <c r="A71" s="10" t="s">
        <v>207</v>
      </c>
      <c r="B71" s="10" t="s">
        <v>1609</v>
      </c>
      <c r="C71" s="10" t="s">
        <v>1732</v>
      </c>
      <c r="D71" s="10" t="s">
        <v>1745</v>
      </c>
      <c r="E71" s="10" t="s">
        <v>1746</v>
      </c>
      <c r="F71" s="10" t="s">
        <v>187</v>
      </c>
    </row>
    <row r="72" spans="1:6" x14ac:dyDescent="0.35">
      <c r="A72" s="10" t="s">
        <v>207</v>
      </c>
      <c r="B72" s="10" t="s">
        <v>1609</v>
      </c>
      <c r="C72" s="10" t="s">
        <v>1732</v>
      </c>
      <c r="D72" s="10" t="s">
        <v>1747</v>
      </c>
      <c r="E72" s="10" t="s">
        <v>1748</v>
      </c>
      <c r="F72" s="10" t="s">
        <v>187</v>
      </c>
    </row>
    <row r="73" spans="1:6" x14ac:dyDescent="0.35">
      <c r="A73" s="10" t="s">
        <v>207</v>
      </c>
      <c r="B73" s="10" t="s">
        <v>1609</v>
      </c>
      <c r="C73" s="10" t="s">
        <v>1732</v>
      </c>
      <c r="D73" s="10" t="s">
        <v>1749</v>
      </c>
      <c r="E73" s="10" t="s">
        <v>1750</v>
      </c>
      <c r="F73" s="10" t="s">
        <v>187</v>
      </c>
    </row>
    <row r="74" spans="1:6" x14ac:dyDescent="0.35">
      <c r="A74" s="10" t="s">
        <v>207</v>
      </c>
      <c r="B74" s="10" t="s">
        <v>1609</v>
      </c>
      <c r="C74" s="10" t="s">
        <v>1732</v>
      </c>
      <c r="D74" s="10" t="s">
        <v>1751</v>
      </c>
      <c r="E74" s="10" t="s">
        <v>1752</v>
      </c>
      <c r="F74" s="10" t="s">
        <v>187</v>
      </c>
    </row>
    <row r="75" spans="1:6" x14ac:dyDescent="0.35">
      <c r="A75" s="10" t="s">
        <v>207</v>
      </c>
      <c r="B75" s="10" t="s">
        <v>1609</v>
      </c>
      <c r="C75" s="10" t="s">
        <v>1732</v>
      </c>
      <c r="D75" s="10" t="s">
        <v>1753</v>
      </c>
      <c r="E75" s="10" t="s">
        <v>1754</v>
      </c>
      <c r="F75" s="10" t="s">
        <v>187</v>
      </c>
    </row>
    <row r="76" spans="1:6" x14ac:dyDescent="0.35">
      <c r="A76" s="10" t="s">
        <v>207</v>
      </c>
      <c r="B76" s="10" t="s">
        <v>1609</v>
      </c>
      <c r="C76" s="10" t="s">
        <v>1732</v>
      </c>
      <c r="D76" s="10" t="s">
        <v>1755</v>
      </c>
      <c r="E76" s="10" t="s">
        <v>1756</v>
      </c>
      <c r="F76" s="10" t="s">
        <v>187</v>
      </c>
    </row>
    <row r="77" spans="1:6" x14ac:dyDescent="0.35">
      <c r="A77" s="10" t="s">
        <v>207</v>
      </c>
      <c r="B77" s="10" t="s">
        <v>1609</v>
      </c>
      <c r="C77" s="10" t="s">
        <v>1732</v>
      </c>
      <c r="D77" s="10" t="s">
        <v>1757</v>
      </c>
      <c r="E77" s="10" t="s">
        <v>1758</v>
      </c>
      <c r="F77" s="10" t="s">
        <v>187</v>
      </c>
    </row>
    <row r="78" spans="1:6" x14ac:dyDescent="0.35">
      <c r="A78" s="10" t="s">
        <v>207</v>
      </c>
      <c r="B78" s="10" t="s">
        <v>1609</v>
      </c>
      <c r="C78" s="10" t="s">
        <v>1732</v>
      </c>
      <c r="D78" s="10" t="s">
        <v>1759</v>
      </c>
      <c r="E78" s="10" t="s">
        <v>1760</v>
      </c>
      <c r="F78" s="10" t="s">
        <v>187</v>
      </c>
    </row>
    <row r="79" spans="1:6" x14ac:dyDescent="0.35">
      <c r="A79" s="10" t="s">
        <v>207</v>
      </c>
      <c r="B79" s="10" t="s">
        <v>1609</v>
      </c>
      <c r="C79" s="10" t="s">
        <v>1732</v>
      </c>
      <c r="D79" s="10" t="s">
        <v>1761</v>
      </c>
      <c r="E79" s="10" t="s">
        <v>1762</v>
      </c>
      <c r="F79" s="10" t="s">
        <v>187</v>
      </c>
    </row>
    <row r="80" spans="1:6" x14ac:dyDescent="0.35">
      <c r="A80" s="10" t="s">
        <v>207</v>
      </c>
      <c r="B80" s="10" t="s">
        <v>1609</v>
      </c>
      <c r="C80" s="10" t="s">
        <v>1732</v>
      </c>
      <c r="D80" s="10" t="s">
        <v>1763</v>
      </c>
      <c r="E80" s="10" t="s">
        <v>1764</v>
      </c>
      <c r="F80" s="10" t="s">
        <v>187</v>
      </c>
    </row>
    <row r="81" spans="1:6" x14ac:dyDescent="0.35">
      <c r="A81" s="10" t="s">
        <v>207</v>
      </c>
      <c r="B81" s="10" t="s">
        <v>1609</v>
      </c>
      <c r="C81" s="10" t="s">
        <v>1732</v>
      </c>
      <c r="D81" s="10" t="s">
        <v>1765</v>
      </c>
      <c r="E81" s="10" t="s">
        <v>1766</v>
      </c>
      <c r="F81" s="10" t="s">
        <v>187</v>
      </c>
    </row>
    <row r="82" spans="1:6" x14ac:dyDescent="0.35">
      <c r="A82" s="10" t="s">
        <v>207</v>
      </c>
      <c r="B82" s="10" t="s">
        <v>1650</v>
      </c>
      <c r="C82" s="10" t="s">
        <v>1767</v>
      </c>
      <c r="D82" s="10" t="s">
        <v>1669</v>
      </c>
      <c r="E82" s="10" t="s">
        <v>1768</v>
      </c>
      <c r="F82" s="10" t="s">
        <v>187</v>
      </c>
    </row>
    <row r="83" spans="1:6" x14ac:dyDescent="0.35">
      <c r="A83" s="10" t="s">
        <v>207</v>
      </c>
      <c r="B83" s="10" t="s">
        <v>1650</v>
      </c>
      <c r="C83" s="10" t="s">
        <v>1767</v>
      </c>
      <c r="D83" s="10" t="s">
        <v>1769</v>
      </c>
      <c r="E83" s="10" t="s">
        <v>1770</v>
      </c>
      <c r="F83" s="10" t="s">
        <v>187</v>
      </c>
    </row>
    <row r="84" spans="1:6" x14ac:dyDescent="0.35">
      <c r="A84" s="10" t="s">
        <v>207</v>
      </c>
      <c r="B84" s="10" t="s">
        <v>1650</v>
      </c>
      <c r="C84" s="10" t="s">
        <v>1767</v>
      </c>
      <c r="D84" s="10" t="s">
        <v>1771</v>
      </c>
      <c r="E84" s="10" t="s">
        <v>1772</v>
      </c>
      <c r="F84" s="10" t="s">
        <v>187</v>
      </c>
    </row>
    <row r="85" spans="1:6" x14ac:dyDescent="0.35">
      <c r="A85" s="10" t="s">
        <v>207</v>
      </c>
      <c r="B85" s="10" t="s">
        <v>1650</v>
      </c>
      <c r="C85" s="10" t="s">
        <v>1767</v>
      </c>
      <c r="D85" s="10" t="s">
        <v>1773</v>
      </c>
      <c r="E85" s="10" t="s">
        <v>1774</v>
      </c>
      <c r="F85" s="10" t="s">
        <v>187</v>
      </c>
    </row>
    <row r="86" spans="1:6" x14ac:dyDescent="0.35">
      <c r="A86" s="10" t="s">
        <v>207</v>
      </c>
      <c r="B86" s="10" t="s">
        <v>1650</v>
      </c>
      <c r="C86" s="10" t="s">
        <v>1767</v>
      </c>
      <c r="D86" s="10" t="s">
        <v>1775</v>
      </c>
      <c r="E86" s="10" t="s">
        <v>1776</v>
      </c>
      <c r="F86" s="10" t="s">
        <v>187</v>
      </c>
    </row>
    <row r="87" spans="1:6" x14ac:dyDescent="0.35">
      <c r="A87" s="10" t="s">
        <v>207</v>
      </c>
      <c r="B87" s="10" t="s">
        <v>1650</v>
      </c>
      <c r="C87" s="10" t="s">
        <v>1767</v>
      </c>
      <c r="D87" s="10" t="s">
        <v>1777</v>
      </c>
      <c r="E87" s="10" t="s">
        <v>1778</v>
      </c>
      <c r="F87" s="10" t="s">
        <v>187</v>
      </c>
    </row>
    <row r="88" spans="1:6" x14ac:dyDescent="0.35">
      <c r="A88" s="10" t="s">
        <v>207</v>
      </c>
      <c r="B88" s="10" t="s">
        <v>1650</v>
      </c>
      <c r="C88" s="10" t="s">
        <v>1767</v>
      </c>
      <c r="D88" s="10" t="s">
        <v>1779</v>
      </c>
      <c r="E88" s="10" t="s">
        <v>1780</v>
      </c>
      <c r="F88" s="10" t="s">
        <v>187</v>
      </c>
    </row>
    <row r="89" spans="1:6" x14ac:dyDescent="0.35">
      <c r="A89" s="10" t="s">
        <v>207</v>
      </c>
      <c r="B89" s="10" t="s">
        <v>1650</v>
      </c>
      <c r="C89" s="10" t="s">
        <v>1767</v>
      </c>
      <c r="D89" s="10" t="s">
        <v>1781</v>
      </c>
      <c r="E89" s="10" t="s">
        <v>1782</v>
      </c>
      <c r="F89" s="10" t="s">
        <v>187</v>
      </c>
    </row>
    <row r="90" spans="1:6" x14ac:dyDescent="0.35">
      <c r="A90" s="10" t="s">
        <v>207</v>
      </c>
      <c r="B90" s="10" t="s">
        <v>1650</v>
      </c>
      <c r="C90" s="10" t="s">
        <v>1767</v>
      </c>
      <c r="D90" s="10" t="s">
        <v>1783</v>
      </c>
      <c r="E90" s="10" t="s">
        <v>1784</v>
      </c>
      <c r="F90" s="10" t="s">
        <v>187</v>
      </c>
    </row>
    <row r="91" spans="1:6" x14ac:dyDescent="0.35">
      <c r="A91" s="10" t="s">
        <v>207</v>
      </c>
      <c r="B91" s="10" t="s">
        <v>1650</v>
      </c>
      <c r="C91" s="10" t="s">
        <v>1767</v>
      </c>
      <c r="D91" s="10" t="s">
        <v>1785</v>
      </c>
      <c r="E91" s="10" t="s">
        <v>1786</v>
      </c>
      <c r="F91" s="10" t="s">
        <v>187</v>
      </c>
    </row>
    <row r="92" spans="1:6" x14ac:dyDescent="0.35">
      <c r="A92" s="10" t="s">
        <v>207</v>
      </c>
      <c r="B92" s="10" t="s">
        <v>1650</v>
      </c>
      <c r="C92" s="10" t="s">
        <v>1767</v>
      </c>
      <c r="D92" s="10" t="s">
        <v>1787</v>
      </c>
      <c r="E92" s="10" t="s">
        <v>1788</v>
      </c>
      <c r="F92" s="10" t="s">
        <v>187</v>
      </c>
    </row>
    <row r="93" spans="1:6" x14ac:dyDescent="0.35">
      <c r="A93" s="10" t="s">
        <v>207</v>
      </c>
      <c r="B93" s="10" t="s">
        <v>1667</v>
      </c>
      <c r="C93" s="10" t="s">
        <v>1668</v>
      </c>
      <c r="D93" s="10" t="s">
        <v>1789</v>
      </c>
      <c r="E93" s="10" t="s">
        <v>1790</v>
      </c>
      <c r="F93" s="10" t="s">
        <v>187</v>
      </c>
    </row>
    <row r="94" spans="1:6" x14ac:dyDescent="0.35">
      <c r="A94" s="10" t="s">
        <v>207</v>
      </c>
      <c r="B94" s="10" t="s">
        <v>1667</v>
      </c>
      <c r="C94" s="10" t="s">
        <v>1668</v>
      </c>
      <c r="D94" s="10" t="s">
        <v>1791</v>
      </c>
      <c r="E94" s="10" t="s">
        <v>1792</v>
      </c>
      <c r="F94" s="10" t="s">
        <v>187</v>
      </c>
    </row>
    <row r="95" spans="1:6" x14ac:dyDescent="0.35">
      <c r="A95" s="10" t="s">
        <v>207</v>
      </c>
      <c r="B95" s="10" t="s">
        <v>1650</v>
      </c>
      <c r="C95" s="10" t="s">
        <v>1793</v>
      </c>
      <c r="D95" s="10" t="s">
        <v>1794</v>
      </c>
      <c r="E95" s="10" t="s">
        <v>1795</v>
      </c>
      <c r="F95" s="10" t="s">
        <v>187</v>
      </c>
    </row>
    <row r="96" spans="1:6" x14ac:dyDescent="0.35">
      <c r="A96" s="10" t="s">
        <v>207</v>
      </c>
      <c r="B96" s="10" t="s">
        <v>1650</v>
      </c>
      <c r="C96" s="10" t="s">
        <v>1793</v>
      </c>
      <c r="D96" s="10" t="s">
        <v>1796</v>
      </c>
      <c r="E96" s="10" t="s">
        <v>1797</v>
      </c>
      <c r="F96" s="10" t="s">
        <v>187</v>
      </c>
    </row>
    <row r="97" spans="1:6" x14ac:dyDescent="0.35">
      <c r="A97" s="10" t="s">
        <v>207</v>
      </c>
      <c r="B97" s="10" t="s">
        <v>1650</v>
      </c>
      <c r="C97" s="10" t="s">
        <v>1798</v>
      </c>
      <c r="D97" s="10" t="s">
        <v>1693</v>
      </c>
      <c r="E97" s="10" t="s">
        <v>1799</v>
      </c>
      <c r="F97" s="10" t="s">
        <v>187</v>
      </c>
    </row>
    <row r="98" spans="1:6" x14ac:dyDescent="0.35">
      <c r="A98" s="10" t="s">
        <v>207</v>
      </c>
      <c r="B98" s="10" t="s">
        <v>1650</v>
      </c>
      <c r="C98" s="10" t="s">
        <v>1798</v>
      </c>
      <c r="D98" s="10" t="s">
        <v>1695</v>
      </c>
      <c r="E98" s="10" t="s">
        <v>1800</v>
      </c>
      <c r="F98" s="10" t="s">
        <v>187</v>
      </c>
    </row>
    <row r="99" spans="1:6" x14ac:dyDescent="0.35">
      <c r="A99" s="10" t="s">
        <v>207</v>
      </c>
      <c r="B99" s="10" t="s">
        <v>1650</v>
      </c>
      <c r="C99" s="10" t="s">
        <v>1798</v>
      </c>
      <c r="D99" s="10" t="s">
        <v>1699</v>
      </c>
      <c r="E99" s="10" t="s">
        <v>1801</v>
      </c>
      <c r="F99" s="10" t="s">
        <v>187</v>
      </c>
    </row>
    <row r="100" spans="1:6" x14ac:dyDescent="0.35">
      <c r="A100" s="10" t="s">
        <v>207</v>
      </c>
      <c r="B100" s="10" t="s">
        <v>1650</v>
      </c>
      <c r="C100" s="10" t="s">
        <v>1798</v>
      </c>
      <c r="D100" s="10" t="s">
        <v>1701</v>
      </c>
      <c r="E100" s="10" t="s">
        <v>1802</v>
      </c>
      <c r="F100" s="10" t="s">
        <v>187</v>
      </c>
    </row>
    <row r="101" spans="1:6" x14ac:dyDescent="0.35">
      <c r="A101" s="10" t="s">
        <v>207</v>
      </c>
      <c r="B101" s="10" t="s">
        <v>1650</v>
      </c>
      <c r="C101" s="10" t="s">
        <v>1798</v>
      </c>
      <c r="D101" s="10" t="s">
        <v>1703</v>
      </c>
      <c r="E101" s="10" t="s">
        <v>1803</v>
      </c>
      <c r="F101" s="10" t="s">
        <v>187</v>
      </c>
    </row>
    <row r="102" spans="1:6" x14ac:dyDescent="0.35">
      <c r="A102" s="10" t="s">
        <v>207</v>
      </c>
      <c r="B102" s="10" t="s">
        <v>1650</v>
      </c>
      <c r="C102" s="10" t="s">
        <v>1798</v>
      </c>
      <c r="D102" s="10" t="s">
        <v>1705</v>
      </c>
      <c r="E102" s="10" t="s">
        <v>1804</v>
      </c>
      <c r="F102" s="10" t="s">
        <v>187</v>
      </c>
    </row>
    <row r="103" spans="1:6" x14ac:dyDescent="0.35">
      <c r="A103" s="10" t="s">
        <v>207</v>
      </c>
      <c r="B103" s="10" t="s">
        <v>1650</v>
      </c>
      <c r="C103" s="10" t="s">
        <v>1798</v>
      </c>
      <c r="D103" s="10" t="s">
        <v>1707</v>
      </c>
      <c r="E103" s="10" t="s">
        <v>1805</v>
      </c>
      <c r="F103" s="10" t="s">
        <v>187</v>
      </c>
    </row>
    <row r="104" spans="1:6" x14ac:dyDescent="0.35">
      <c r="A104" s="10" t="s">
        <v>207</v>
      </c>
      <c r="B104" s="10" t="s">
        <v>1650</v>
      </c>
      <c r="C104" s="10" t="s">
        <v>1798</v>
      </c>
      <c r="D104" s="10" t="s">
        <v>1709</v>
      </c>
      <c r="E104" s="10" t="s">
        <v>1806</v>
      </c>
      <c r="F104" s="10" t="s">
        <v>187</v>
      </c>
    </row>
    <row r="105" spans="1:6" x14ac:dyDescent="0.35">
      <c r="A105" s="10" t="s">
        <v>207</v>
      </c>
      <c r="B105" s="10" t="s">
        <v>1650</v>
      </c>
      <c r="C105" s="10" t="s">
        <v>1798</v>
      </c>
      <c r="D105" s="10" t="s">
        <v>1711</v>
      </c>
      <c r="E105" s="10" t="s">
        <v>1807</v>
      </c>
      <c r="F105" s="10" t="s">
        <v>187</v>
      </c>
    </row>
    <row r="106" spans="1:6" x14ac:dyDescent="0.35">
      <c r="A106" s="10" t="s">
        <v>207</v>
      </c>
      <c r="B106" s="10" t="s">
        <v>1650</v>
      </c>
      <c r="C106" s="10" t="s">
        <v>1798</v>
      </c>
      <c r="D106" s="10" t="s">
        <v>1713</v>
      </c>
      <c r="E106" s="10" t="s">
        <v>1808</v>
      </c>
      <c r="F106" s="10" t="s">
        <v>187</v>
      </c>
    </row>
    <row r="107" spans="1:6" x14ac:dyDescent="0.35">
      <c r="A107" s="10" t="s">
        <v>207</v>
      </c>
      <c r="B107" s="10" t="s">
        <v>1650</v>
      </c>
      <c r="C107" s="10" t="s">
        <v>1798</v>
      </c>
      <c r="D107" s="10" t="s">
        <v>1715</v>
      </c>
      <c r="E107" s="10" t="s">
        <v>1809</v>
      </c>
      <c r="F107" s="10" t="s">
        <v>187</v>
      </c>
    </row>
    <row r="108" spans="1:6" x14ac:dyDescent="0.35">
      <c r="A108" s="10" t="s">
        <v>207</v>
      </c>
      <c r="B108" s="10" t="s">
        <v>1650</v>
      </c>
      <c r="C108" s="10" t="s">
        <v>1798</v>
      </c>
      <c r="D108" s="10" t="s">
        <v>1717</v>
      </c>
      <c r="E108" s="10" t="s">
        <v>1810</v>
      </c>
      <c r="F108" s="10" t="s">
        <v>187</v>
      </c>
    </row>
    <row r="109" spans="1:6" x14ac:dyDescent="0.35">
      <c r="A109" s="10" t="s">
        <v>207</v>
      </c>
      <c r="B109" s="10" t="s">
        <v>1650</v>
      </c>
      <c r="C109" s="10" t="s">
        <v>1798</v>
      </c>
      <c r="D109" s="10" t="s">
        <v>1719</v>
      </c>
      <c r="E109" s="10" t="s">
        <v>1811</v>
      </c>
      <c r="F109" s="10" t="s">
        <v>187</v>
      </c>
    </row>
    <row r="110" spans="1:6" x14ac:dyDescent="0.35">
      <c r="A110" s="10" t="s">
        <v>207</v>
      </c>
      <c r="B110" s="10" t="s">
        <v>1650</v>
      </c>
      <c r="C110" s="10" t="s">
        <v>1798</v>
      </c>
      <c r="D110" s="10" t="s">
        <v>1721</v>
      </c>
      <c r="E110" s="10" t="s">
        <v>1812</v>
      </c>
      <c r="F110" s="10" t="s">
        <v>187</v>
      </c>
    </row>
    <row r="111" spans="1:6" x14ac:dyDescent="0.35">
      <c r="A111" s="10" t="s">
        <v>207</v>
      </c>
      <c r="B111" s="10" t="s">
        <v>1650</v>
      </c>
      <c r="C111" s="10" t="s">
        <v>1798</v>
      </c>
      <c r="D111" s="10" t="s">
        <v>1813</v>
      </c>
      <c r="E111" s="10" t="s">
        <v>1814</v>
      </c>
      <c r="F111" s="10" t="s">
        <v>187</v>
      </c>
    </row>
    <row r="112" spans="1:6" x14ac:dyDescent="0.35">
      <c r="A112" s="10" t="s">
        <v>207</v>
      </c>
      <c r="B112" s="10" t="s">
        <v>1650</v>
      </c>
      <c r="C112" s="10" t="s">
        <v>1798</v>
      </c>
      <c r="D112" s="10" t="s">
        <v>1815</v>
      </c>
      <c r="E112" s="10" t="s">
        <v>1816</v>
      </c>
      <c r="F112" s="10" t="s">
        <v>187</v>
      </c>
    </row>
    <row r="113" spans="1:6" x14ac:dyDescent="0.35">
      <c r="A113" s="10" t="s">
        <v>207</v>
      </c>
      <c r="B113" s="10" t="s">
        <v>1650</v>
      </c>
      <c r="C113" s="10" t="s">
        <v>1798</v>
      </c>
      <c r="D113" s="10" t="s">
        <v>1817</v>
      </c>
      <c r="E113" s="10" t="s">
        <v>1818</v>
      </c>
      <c r="F113" s="10" t="s">
        <v>187</v>
      </c>
    </row>
    <row r="114" spans="1:6" x14ac:dyDescent="0.35">
      <c r="A114" s="10" t="s">
        <v>207</v>
      </c>
      <c r="B114" s="10" t="s">
        <v>1650</v>
      </c>
      <c r="C114" s="10" t="s">
        <v>1798</v>
      </c>
      <c r="D114" s="10" t="s">
        <v>1697</v>
      </c>
      <c r="E114" s="10" t="s">
        <v>1819</v>
      </c>
      <c r="F114" s="10" t="s">
        <v>187</v>
      </c>
    </row>
    <row r="115" spans="1:6" x14ac:dyDescent="0.35">
      <c r="A115" s="10" t="s">
        <v>207</v>
      </c>
      <c r="B115" s="10" t="s">
        <v>1650</v>
      </c>
      <c r="C115" s="10" t="s">
        <v>1820</v>
      </c>
      <c r="D115" s="10" t="s">
        <v>1733</v>
      </c>
      <c r="E115" s="10" t="s">
        <v>1821</v>
      </c>
      <c r="F115" s="10" t="s">
        <v>187</v>
      </c>
    </row>
    <row r="116" spans="1:6" x14ac:dyDescent="0.35">
      <c r="A116" s="10" t="s">
        <v>207</v>
      </c>
      <c r="B116" s="10" t="s">
        <v>1650</v>
      </c>
      <c r="C116" s="10" t="s">
        <v>1820</v>
      </c>
      <c r="D116" s="10" t="s">
        <v>1822</v>
      </c>
      <c r="E116" s="10" t="s">
        <v>1823</v>
      </c>
      <c r="F116" s="10" t="s">
        <v>187</v>
      </c>
    </row>
    <row r="117" spans="1:6" x14ac:dyDescent="0.35">
      <c r="A117" s="10" t="s">
        <v>207</v>
      </c>
      <c r="B117" s="10" t="s">
        <v>1650</v>
      </c>
      <c r="C117" s="10" t="s">
        <v>1820</v>
      </c>
      <c r="D117" s="10" t="s">
        <v>1735</v>
      </c>
      <c r="E117" s="10" t="s">
        <v>1824</v>
      </c>
      <c r="F117" s="10" t="s">
        <v>187</v>
      </c>
    </row>
    <row r="118" spans="1:6" x14ac:dyDescent="0.35">
      <c r="A118" s="10" t="s">
        <v>207</v>
      </c>
      <c r="B118" s="10" t="s">
        <v>1650</v>
      </c>
      <c r="C118" s="10" t="s">
        <v>1820</v>
      </c>
      <c r="D118" s="10" t="s">
        <v>1825</v>
      </c>
      <c r="E118" s="10" t="s">
        <v>1826</v>
      </c>
      <c r="F118" s="10" t="s">
        <v>187</v>
      </c>
    </row>
    <row r="119" spans="1:6" x14ac:dyDescent="0.35">
      <c r="A119" s="10" t="s">
        <v>207</v>
      </c>
      <c r="B119" s="10" t="s">
        <v>1650</v>
      </c>
      <c r="C119" s="10" t="s">
        <v>1820</v>
      </c>
      <c r="D119" s="10" t="s">
        <v>1827</v>
      </c>
      <c r="E119" s="10" t="s">
        <v>1828</v>
      </c>
      <c r="F119" s="10" t="s">
        <v>187</v>
      </c>
    </row>
    <row r="120" spans="1:6" x14ac:dyDescent="0.35">
      <c r="A120" s="10" t="s">
        <v>207</v>
      </c>
      <c r="B120" s="10" t="s">
        <v>1650</v>
      </c>
      <c r="C120" s="10" t="s">
        <v>1820</v>
      </c>
      <c r="D120" s="10" t="s">
        <v>1829</v>
      </c>
      <c r="E120" s="10" t="s">
        <v>1830</v>
      </c>
      <c r="F120" s="10" t="s">
        <v>187</v>
      </c>
    </row>
    <row r="121" spans="1:6" x14ac:dyDescent="0.35">
      <c r="A121" s="10" t="s">
        <v>207</v>
      </c>
      <c r="B121" s="10" t="s">
        <v>1650</v>
      </c>
      <c r="C121" s="10" t="s">
        <v>1820</v>
      </c>
      <c r="D121" s="10" t="s">
        <v>1743</v>
      </c>
      <c r="E121" s="10" t="s">
        <v>1831</v>
      </c>
      <c r="F121" s="10" t="s">
        <v>187</v>
      </c>
    </row>
    <row r="122" spans="1:6" ht="25" x14ac:dyDescent="0.35">
      <c r="A122" s="10" t="s">
        <v>207</v>
      </c>
      <c r="B122" s="10" t="s">
        <v>1650</v>
      </c>
      <c r="C122" s="10" t="s">
        <v>1820</v>
      </c>
      <c r="D122" s="10" t="s">
        <v>1832</v>
      </c>
      <c r="E122" s="10" t="s">
        <v>1833</v>
      </c>
      <c r="F122" s="10" t="s">
        <v>187</v>
      </c>
    </row>
    <row r="123" spans="1:6" x14ac:dyDescent="0.35">
      <c r="A123" s="10" t="s">
        <v>207</v>
      </c>
      <c r="B123" s="10" t="s">
        <v>1650</v>
      </c>
      <c r="C123" s="10" t="s">
        <v>1820</v>
      </c>
      <c r="D123" s="10" t="s">
        <v>1690</v>
      </c>
      <c r="E123" s="10" t="s">
        <v>1834</v>
      </c>
      <c r="F123" s="10" t="s">
        <v>187</v>
      </c>
    </row>
    <row r="124" spans="1:6" x14ac:dyDescent="0.35">
      <c r="A124" s="10" t="s">
        <v>207</v>
      </c>
      <c r="B124" s="10" t="s">
        <v>1650</v>
      </c>
      <c r="C124" s="10" t="s">
        <v>1820</v>
      </c>
      <c r="D124" s="10" t="s">
        <v>1648</v>
      </c>
      <c r="E124" s="10" t="s">
        <v>1835</v>
      </c>
      <c r="F124" s="10" t="s">
        <v>187</v>
      </c>
    </row>
    <row r="125" spans="1:6" x14ac:dyDescent="0.35">
      <c r="A125" s="10" t="s">
        <v>207</v>
      </c>
      <c r="B125" s="10" t="s">
        <v>1650</v>
      </c>
      <c r="C125" s="10" t="s">
        <v>1820</v>
      </c>
      <c r="D125" s="10" t="s">
        <v>1745</v>
      </c>
      <c r="E125" s="10" t="s">
        <v>1836</v>
      </c>
      <c r="F125" s="10" t="s">
        <v>187</v>
      </c>
    </row>
    <row r="126" spans="1:6" ht="25" x14ac:dyDescent="0.35">
      <c r="A126" s="10" t="s">
        <v>207</v>
      </c>
      <c r="B126" s="10" t="s">
        <v>1650</v>
      </c>
      <c r="C126" s="10" t="s">
        <v>1820</v>
      </c>
      <c r="D126" s="10" t="s">
        <v>1755</v>
      </c>
      <c r="E126" s="10" t="s">
        <v>1837</v>
      </c>
      <c r="F126" s="10" t="s">
        <v>187</v>
      </c>
    </row>
    <row r="127" spans="1:6" x14ac:dyDescent="0.35">
      <c r="A127" s="10" t="s">
        <v>207</v>
      </c>
      <c r="B127" s="10" t="s">
        <v>1650</v>
      </c>
      <c r="C127" s="10" t="s">
        <v>1820</v>
      </c>
      <c r="D127" s="10" t="s">
        <v>1765</v>
      </c>
      <c r="E127" s="10" t="s">
        <v>1838</v>
      </c>
      <c r="F127" s="10" t="s">
        <v>187</v>
      </c>
    </row>
    <row r="128" spans="1:6" x14ac:dyDescent="0.35">
      <c r="A128" s="10" t="s">
        <v>207</v>
      </c>
      <c r="B128" s="10" t="s">
        <v>1650</v>
      </c>
      <c r="C128" s="10" t="s">
        <v>1820</v>
      </c>
      <c r="D128" s="10" t="s">
        <v>1761</v>
      </c>
      <c r="E128" s="10" t="s">
        <v>1839</v>
      </c>
      <c r="F128" s="10" t="s">
        <v>187</v>
      </c>
    </row>
    <row r="129" spans="1:6" x14ac:dyDescent="0.35">
      <c r="A129" s="10" t="s">
        <v>207</v>
      </c>
      <c r="B129" s="10" t="s">
        <v>1650</v>
      </c>
      <c r="C129" s="10" t="s">
        <v>1820</v>
      </c>
      <c r="D129" s="10" t="s">
        <v>1763</v>
      </c>
      <c r="E129" s="10" t="s">
        <v>1840</v>
      </c>
      <c r="F129" s="10" t="s">
        <v>187</v>
      </c>
    </row>
    <row r="130" spans="1:6" x14ac:dyDescent="0.35">
      <c r="A130" s="10" t="s">
        <v>207</v>
      </c>
      <c r="B130" s="10" t="s">
        <v>1650</v>
      </c>
      <c r="C130" s="10" t="s">
        <v>1820</v>
      </c>
      <c r="D130" s="10" t="s">
        <v>1757</v>
      </c>
      <c r="E130" s="10" t="s">
        <v>1841</v>
      </c>
      <c r="F130" s="10" t="s">
        <v>187</v>
      </c>
    </row>
    <row r="131" spans="1:6" x14ac:dyDescent="0.35">
      <c r="A131" s="10" t="s">
        <v>207</v>
      </c>
      <c r="B131" s="10" t="s">
        <v>1650</v>
      </c>
      <c r="C131" s="10" t="s">
        <v>1820</v>
      </c>
      <c r="D131" s="10" t="s">
        <v>1759</v>
      </c>
      <c r="E131" s="10" t="s">
        <v>1842</v>
      </c>
      <c r="F131" s="10" t="s">
        <v>187</v>
      </c>
    </row>
    <row r="132" spans="1:6" x14ac:dyDescent="0.35">
      <c r="A132" s="10" t="s">
        <v>207</v>
      </c>
      <c r="B132" s="10" t="s">
        <v>1650</v>
      </c>
      <c r="C132" s="10" t="s">
        <v>1820</v>
      </c>
      <c r="D132" s="10" t="s">
        <v>1739</v>
      </c>
      <c r="E132" s="10" t="s">
        <v>1843</v>
      </c>
      <c r="F132" s="10" t="s">
        <v>187</v>
      </c>
    </row>
    <row r="133" spans="1:6" x14ac:dyDescent="0.35">
      <c r="A133" s="10" t="s">
        <v>207</v>
      </c>
      <c r="B133" s="10" t="s">
        <v>1650</v>
      </c>
      <c r="C133" s="10" t="s">
        <v>1820</v>
      </c>
      <c r="D133" s="10" t="s">
        <v>1749</v>
      </c>
      <c r="E133" s="10" t="s">
        <v>1844</v>
      </c>
      <c r="F133" s="10" t="s">
        <v>187</v>
      </c>
    </row>
    <row r="134" spans="1:6" x14ac:dyDescent="0.35">
      <c r="A134" s="10" t="s">
        <v>207</v>
      </c>
      <c r="B134" s="10" t="s">
        <v>1650</v>
      </c>
      <c r="C134" s="10" t="s">
        <v>1820</v>
      </c>
      <c r="D134" s="10" t="s">
        <v>1845</v>
      </c>
      <c r="E134" s="10" t="s">
        <v>1846</v>
      </c>
      <c r="F134" s="10" t="s">
        <v>187</v>
      </c>
    </row>
    <row r="135" spans="1:6" x14ac:dyDescent="0.35">
      <c r="A135" s="10" t="s">
        <v>207</v>
      </c>
      <c r="B135" s="10" t="s">
        <v>1650</v>
      </c>
      <c r="C135" s="10" t="s">
        <v>1820</v>
      </c>
      <c r="D135" s="10" t="s">
        <v>1753</v>
      </c>
      <c r="E135" s="10" t="s">
        <v>1847</v>
      </c>
      <c r="F135" s="10" t="s">
        <v>187</v>
      </c>
    </row>
    <row r="136" spans="1:6" x14ac:dyDescent="0.35">
      <c r="A136" s="10" t="s">
        <v>207</v>
      </c>
      <c r="B136" s="10" t="s">
        <v>1667</v>
      </c>
      <c r="C136" s="10" t="s">
        <v>1848</v>
      </c>
      <c r="D136" s="10" t="s">
        <v>1849</v>
      </c>
      <c r="E136" s="10" t="s">
        <v>1850</v>
      </c>
      <c r="F136" s="10" t="s">
        <v>187</v>
      </c>
    </row>
    <row r="137" spans="1:6" x14ac:dyDescent="0.35">
      <c r="A137" s="10" t="s">
        <v>207</v>
      </c>
      <c r="B137" s="10" t="s">
        <v>1667</v>
      </c>
      <c r="C137" s="10" t="s">
        <v>1851</v>
      </c>
      <c r="D137" s="10" t="s">
        <v>1852</v>
      </c>
      <c r="E137" s="10" t="s">
        <v>1853</v>
      </c>
      <c r="F137" s="10" t="s">
        <v>187</v>
      </c>
    </row>
    <row r="138" spans="1:6" x14ac:dyDescent="0.35">
      <c r="A138" s="10" t="s">
        <v>207</v>
      </c>
      <c r="B138" s="10" t="s">
        <v>1667</v>
      </c>
      <c r="C138" s="10" t="s">
        <v>1851</v>
      </c>
      <c r="D138" s="10" t="s">
        <v>1854</v>
      </c>
      <c r="E138" s="10" t="s">
        <v>1855</v>
      </c>
      <c r="F138" s="10" t="s">
        <v>187</v>
      </c>
    </row>
    <row r="139" spans="1:6" ht="25" x14ac:dyDescent="0.35">
      <c r="A139" s="10" t="s">
        <v>207</v>
      </c>
      <c r="B139" s="10" t="s">
        <v>1667</v>
      </c>
      <c r="C139" s="10" t="s">
        <v>1851</v>
      </c>
      <c r="D139" s="10" t="s">
        <v>1856</v>
      </c>
      <c r="E139" s="10" t="s">
        <v>1857</v>
      </c>
      <c r="F139" s="10" t="s">
        <v>187</v>
      </c>
    </row>
    <row r="140" spans="1:6" x14ac:dyDescent="0.35">
      <c r="A140" s="10" t="s">
        <v>207</v>
      </c>
      <c r="B140" s="10" t="s">
        <v>1667</v>
      </c>
      <c r="C140" s="10" t="s">
        <v>1858</v>
      </c>
      <c r="D140" s="10" t="s">
        <v>1697</v>
      </c>
      <c r="E140" s="10" t="s">
        <v>1859</v>
      </c>
      <c r="F140" s="10" t="s">
        <v>187</v>
      </c>
    </row>
    <row r="141" spans="1:6" x14ac:dyDescent="0.35">
      <c r="A141" s="10" t="s">
        <v>207</v>
      </c>
      <c r="B141" s="10" t="s">
        <v>1667</v>
      </c>
      <c r="C141" s="10" t="s">
        <v>1858</v>
      </c>
      <c r="D141" s="10" t="s">
        <v>1860</v>
      </c>
      <c r="E141" s="10" t="s">
        <v>1861</v>
      </c>
      <c r="F141" s="10" t="s">
        <v>187</v>
      </c>
    </row>
    <row r="142" spans="1:6" x14ac:dyDescent="0.35">
      <c r="A142" s="10" t="s">
        <v>207</v>
      </c>
      <c r="B142" s="10" t="s">
        <v>1667</v>
      </c>
      <c r="C142" s="10" t="s">
        <v>1858</v>
      </c>
      <c r="D142" s="10" t="s">
        <v>1862</v>
      </c>
      <c r="E142" s="10" t="s">
        <v>1863</v>
      </c>
      <c r="F142" s="10" t="s">
        <v>187</v>
      </c>
    </row>
    <row r="143" spans="1:6" x14ac:dyDescent="0.35">
      <c r="A143" s="10" t="s">
        <v>207</v>
      </c>
      <c r="B143" s="10" t="s">
        <v>1667</v>
      </c>
      <c r="C143" s="10" t="s">
        <v>1858</v>
      </c>
      <c r="D143" s="10" t="s">
        <v>1864</v>
      </c>
      <c r="E143" s="10" t="s">
        <v>1865</v>
      </c>
      <c r="F143" s="10" t="s">
        <v>187</v>
      </c>
    </row>
    <row r="144" spans="1:6" x14ac:dyDescent="0.35">
      <c r="A144" s="10" t="s">
        <v>207</v>
      </c>
      <c r="B144" s="10" t="s">
        <v>1667</v>
      </c>
      <c r="C144" s="10" t="s">
        <v>1858</v>
      </c>
      <c r="D144" s="10" t="s">
        <v>1866</v>
      </c>
      <c r="E144" s="10" t="s">
        <v>1867</v>
      </c>
      <c r="F144" s="10" t="s">
        <v>187</v>
      </c>
    </row>
    <row r="145" spans="1:6" x14ac:dyDescent="0.35">
      <c r="A145" s="10" t="s">
        <v>207</v>
      </c>
      <c r="B145" s="10" t="s">
        <v>1667</v>
      </c>
      <c r="C145" s="10" t="s">
        <v>1858</v>
      </c>
      <c r="D145" s="10" t="s">
        <v>1868</v>
      </c>
      <c r="E145" s="10" t="s">
        <v>1869</v>
      </c>
      <c r="F145" s="10" t="s">
        <v>187</v>
      </c>
    </row>
    <row r="146" spans="1:6" x14ac:dyDescent="0.35">
      <c r="A146" s="10" t="s">
        <v>207</v>
      </c>
      <c r="B146" s="10" t="s">
        <v>1667</v>
      </c>
      <c r="C146" s="10" t="s">
        <v>1858</v>
      </c>
      <c r="D146" s="10" t="s">
        <v>1870</v>
      </c>
      <c r="E146" s="10" t="s">
        <v>1871</v>
      </c>
      <c r="F146" s="10" t="s">
        <v>187</v>
      </c>
    </row>
    <row r="147" spans="1:6" ht="25" x14ac:dyDescent="0.35">
      <c r="A147" s="10" t="s">
        <v>207</v>
      </c>
      <c r="B147" s="10" t="s">
        <v>1683</v>
      </c>
      <c r="C147" s="10" t="s">
        <v>1872</v>
      </c>
      <c r="D147" s="10" t="s">
        <v>1685</v>
      </c>
      <c r="E147" s="10" t="s">
        <v>1686</v>
      </c>
      <c r="F147" s="10" t="s">
        <v>187</v>
      </c>
    </row>
    <row r="148" spans="1:6" ht="25" x14ac:dyDescent="0.35">
      <c r="A148" s="10" t="s">
        <v>207</v>
      </c>
      <c r="B148" s="10" t="s">
        <v>1683</v>
      </c>
      <c r="C148" s="10" t="s">
        <v>1873</v>
      </c>
      <c r="D148" s="10" t="s">
        <v>1874</v>
      </c>
      <c r="E148" s="10" t="s">
        <v>1875</v>
      </c>
      <c r="F148" s="10" t="s">
        <v>1876</v>
      </c>
    </row>
    <row r="149" spans="1:6" ht="25" x14ac:dyDescent="0.35">
      <c r="A149" s="10" t="s">
        <v>207</v>
      </c>
      <c r="B149" s="10" t="s">
        <v>1683</v>
      </c>
      <c r="C149" s="10" t="s">
        <v>1877</v>
      </c>
      <c r="D149" s="10" t="s">
        <v>1878</v>
      </c>
      <c r="E149" s="10" t="s">
        <v>1879</v>
      </c>
      <c r="F149" s="10" t="s">
        <v>1880</v>
      </c>
    </row>
    <row r="150" spans="1:6" ht="25" x14ac:dyDescent="0.35">
      <c r="A150" s="10" t="s">
        <v>207</v>
      </c>
      <c r="B150" s="10" t="s">
        <v>1683</v>
      </c>
      <c r="C150" s="10" t="s">
        <v>1881</v>
      </c>
      <c r="D150" s="10" t="s">
        <v>1685</v>
      </c>
      <c r="E150" s="10" t="s">
        <v>1686</v>
      </c>
      <c r="F150" s="10" t="s">
        <v>187</v>
      </c>
    </row>
    <row r="151" spans="1:6" x14ac:dyDescent="0.35">
      <c r="A151" s="10" t="s">
        <v>220</v>
      </c>
      <c r="B151" s="10" t="s">
        <v>1609</v>
      </c>
      <c r="C151" s="10" t="s">
        <v>1882</v>
      </c>
      <c r="D151" s="10" t="s">
        <v>1883</v>
      </c>
      <c r="E151" s="10" t="s">
        <v>1884</v>
      </c>
      <c r="F151" s="10" t="s">
        <v>187</v>
      </c>
    </row>
    <row r="152" spans="1:6" x14ac:dyDescent="0.35">
      <c r="A152" s="10" t="s">
        <v>220</v>
      </c>
      <c r="B152" s="10" t="s">
        <v>1609</v>
      </c>
      <c r="C152" s="10" t="s">
        <v>1882</v>
      </c>
      <c r="D152" s="10" t="s">
        <v>1885</v>
      </c>
      <c r="E152" s="10" t="s">
        <v>1886</v>
      </c>
      <c r="F152" s="10" t="s">
        <v>187</v>
      </c>
    </row>
    <row r="153" spans="1:6" x14ac:dyDescent="0.35">
      <c r="A153" s="10" t="s">
        <v>220</v>
      </c>
      <c r="B153" s="10" t="s">
        <v>1609</v>
      </c>
      <c r="C153" s="10" t="s">
        <v>1882</v>
      </c>
      <c r="D153" s="10" t="s">
        <v>1887</v>
      </c>
      <c r="E153" s="10" t="s">
        <v>1888</v>
      </c>
      <c r="F153" s="10" t="s">
        <v>187</v>
      </c>
    </row>
    <row r="154" spans="1:6" x14ac:dyDescent="0.35">
      <c r="A154" s="10" t="s">
        <v>220</v>
      </c>
      <c r="B154" s="10" t="s">
        <v>1609</v>
      </c>
      <c r="C154" s="10" t="s">
        <v>1882</v>
      </c>
      <c r="D154" s="10" t="s">
        <v>1889</v>
      </c>
      <c r="E154" s="10" t="s">
        <v>1890</v>
      </c>
      <c r="F154" s="10" t="s">
        <v>187</v>
      </c>
    </row>
    <row r="155" spans="1:6" x14ac:dyDescent="0.35">
      <c r="A155" s="10" t="s">
        <v>220</v>
      </c>
      <c r="B155" s="10" t="s">
        <v>1609</v>
      </c>
      <c r="C155" s="10" t="s">
        <v>1882</v>
      </c>
      <c r="D155" s="10" t="s">
        <v>1891</v>
      </c>
      <c r="E155" s="10" t="s">
        <v>1892</v>
      </c>
      <c r="F155" s="10" t="s">
        <v>187</v>
      </c>
    </row>
    <row r="156" spans="1:6" x14ac:dyDescent="0.35">
      <c r="A156" s="10" t="s">
        <v>220</v>
      </c>
      <c r="B156" s="10" t="s">
        <v>1609</v>
      </c>
      <c r="C156" s="10" t="s">
        <v>1893</v>
      </c>
      <c r="D156" s="10" t="s">
        <v>1894</v>
      </c>
      <c r="E156" s="10" t="s">
        <v>1895</v>
      </c>
      <c r="F156" s="10" t="s">
        <v>187</v>
      </c>
    </row>
    <row r="157" spans="1:6" x14ac:dyDescent="0.35">
      <c r="A157" s="10" t="s">
        <v>220</v>
      </c>
      <c r="B157" s="10" t="s">
        <v>1609</v>
      </c>
      <c r="C157" s="10" t="s">
        <v>1893</v>
      </c>
      <c r="D157" s="10" t="s">
        <v>1896</v>
      </c>
      <c r="E157" s="10" t="s">
        <v>1897</v>
      </c>
      <c r="F157" s="10" t="s">
        <v>187</v>
      </c>
    </row>
    <row r="158" spans="1:6" x14ac:dyDescent="0.35">
      <c r="A158" s="10" t="s">
        <v>220</v>
      </c>
      <c r="B158" s="10" t="s">
        <v>1609</v>
      </c>
      <c r="C158" s="10" t="s">
        <v>1893</v>
      </c>
      <c r="D158" s="10" t="s">
        <v>1898</v>
      </c>
      <c r="E158" s="10" t="s">
        <v>1899</v>
      </c>
      <c r="F158" s="10" t="s">
        <v>187</v>
      </c>
    </row>
    <row r="159" spans="1:6" x14ac:dyDescent="0.35">
      <c r="A159" s="10" t="s">
        <v>220</v>
      </c>
      <c r="B159" s="10" t="s">
        <v>1609</v>
      </c>
      <c r="C159" s="10" t="s">
        <v>1893</v>
      </c>
      <c r="D159" s="10" t="s">
        <v>1900</v>
      </c>
      <c r="E159" s="10" t="s">
        <v>1901</v>
      </c>
      <c r="F159" s="10" t="s">
        <v>187</v>
      </c>
    </row>
    <row r="160" spans="1:6" x14ac:dyDescent="0.35">
      <c r="A160" s="10" t="s">
        <v>220</v>
      </c>
      <c r="B160" s="10" t="s">
        <v>1609</v>
      </c>
      <c r="C160" s="10" t="s">
        <v>1893</v>
      </c>
      <c r="D160" s="10" t="s">
        <v>1705</v>
      </c>
      <c r="E160" s="10" t="s">
        <v>1706</v>
      </c>
      <c r="F160" s="10" t="s">
        <v>187</v>
      </c>
    </row>
    <row r="161" spans="1:6" x14ac:dyDescent="0.35">
      <c r="A161" s="10" t="s">
        <v>220</v>
      </c>
      <c r="B161" s="10" t="s">
        <v>1609</v>
      </c>
      <c r="C161" s="10" t="s">
        <v>1893</v>
      </c>
      <c r="D161" s="10" t="s">
        <v>1902</v>
      </c>
      <c r="E161" s="10" t="s">
        <v>1903</v>
      </c>
      <c r="F161" s="10" t="s">
        <v>187</v>
      </c>
    </row>
    <row r="162" spans="1:6" x14ac:dyDescent="0.35">
      <c r="A162" s="10" t="s">
        <v>220</v>
      </c>
      <c r="B162" s="10" t="s">
        <v>1609</v>
      </c>
      <c r="C162" s="10" t="s">
        <v>1893</v>
      </c>
      <c r="D162" s="10" t="s">
        <v>1904</v>
      </c>
      <c r="E162" s="10" t="s">
        <v>1905</v>
      </c>
      <c r="F162" s="10" t="s">
        <v>187</v>
      </c>
    </row>
    <row r="163" spans="1:6" x14ac:dyDescent="0.35">
      <c r="A163" s="10" t="s">
        <v>220</v>
      </c>
      <c r="B163" s="10" t="s">
        <v>1609</v>
      </c>
      <c r="C163" s="10" t="s">
        <v>1893</v>
      </c>
      <c r="D163" s="10" t="s">
        <v>1906</v>
      </c>
      <c r="E163" s="10" t="s">
        <v>1907</v>
      </c>
      <c r="F163" s="10" t="s">
        <v>187</v>
      </c>
    </row>
    <row r="164" spans="1:6" x14ac:dyDescent="0.35">
      <c r="A164" s="10" t="s">
        <v>220</v>
      </c>
      <c r="B164" s="10" t="s">
        <v>1609</v>
      </c>
      <c r="C164" s="10" t="s">
        <v>1893</v>
      </c>
      <c r="D164" s="10" t="s">
        <v>1908</v>
      </c>
      <c r="E164" s="10" t="s">
        <v>1909</v>
      </c>
      <c r="F164" s="10" t="s">
        <v>187</v>
      </c>
    </row>
    <row r="165" spans="1:6" x14ac:dyDescent="0.35">
      <c r="A165" s="10" t="s">
        <v>220</v>
      </c>
      <c r="B165" s="10" t="s">
        <v>1609</v>
      </c>
      <c r="C165" s="10" t="s">
        <v>1893</v>
      </c>
      <c r="D165" s="10" t="s">
        <v>1910</v>
      </c>
      <c r="E165" s="10" t="s">
        <v>1911</v>
      </c>
      <c r="F165" s="10" t="s">
        <v>187</v>
      </c>
    </row>
    <row r="166" spans="1:6" x14ac:dyDescent="0.35">
      <c r="A166" s="10" t="s">
        <v>220</v>
      </c>
      <c r="B166" s="10" t="s">
        <v>1609</v>
      </c>
      <c r="C166" s="10" t="s">
        <v>1893</v>
      </c>
      <c r="D166" s="10" t="s">
        <v>1912</v>
      </c>
      <c r="E166" s="10" t="s">
        <v>1913</v>
      </c>
      <c r="F166" s="10" t="s">
        <v>187</v>
      </c>
    </row>
    <row r="167" spans="1:6" x14ac:dyDescent="0.35">
      <c r="A167" s="10" t="s">
        <v>220</v>
      </c>
      <c r="B167" s="10" t="s">
        <v>1609</v>
      </c>
      <c r="C167" s="10" t="s">
        <v>1893</v>
      </c>
      <c r="D167" s="10" t="s">
        <v>1849</v>
      </c>
      <c r="E167" s="10" t="s">
        <v>1914</v>
      </c>
      <c r="F167" s="10" t="s">
        <v>187</v>
      </c>
    </row>
    <row r="168" spans="1:6" x14ac:dyDescent="0.35">
      <c r="A168" s="10" t="s">
        <v>220</v>
      </c>
      <c r="B168" s="10" t="s">
        <v>1609</v>
      </c>
      <c r="C168" s="10" t="s">
        <v>1893</v>
      </c>
      <c r="D168" s="10" t="s">
        <v>1915</v>
      </c>
      <c r="E168" s="10" t="s">
        <v>1916</v>
      </c>
      <c r="F168" s="10" t="s">
        <v>187</v>
      </c>
    </row>
    <row r="169" spans="1:6" x14ac:dyDescent="0.35">
      <c r="A169" s="10" t="s">
        <v>220</v>
      </c>
      <c r="B169" s="10" t="s">
        <v>1609</v>
      </c>
      <c r="C169" s="10" t="s">
        <v>1893</v>
      </c>
      <c r="D169" s="10" t="s">
        <v>1917</v>
      </c>
      <c r="E169" s="10" t="s">
        <v>1918</v>
      </c>
      <c r="F169" s="10" t="s">
        <v>187</v>
      </c>
    </row>
    <row r="170" spans="1:6" x14ac:dyDescent="0.35">
      <c r="A170" s="10" t="s">
        <v>220</v>
      </c>
      <c r="B170" s="10" t="s">
        <v>1609</v>
      </c>
      <c r="C170" s="10" t="s">
        <v>1893</v>
      </c>
      <c r="D170" s="10" t="s">
        <v>1919</v>
      </c>
      <c r="E170" s="10" t="s">
        <v>1920</v>
      </c>
      <c r="F170" s="10" t="s">
        <v>187</v>
      </c>
    </row>
    <row r="171" spans="1:6" x14ac:dyDescent="0.35">
      <c r="A171" s="10" t="s">
        <v>220</v>
      </c>
      <c r="B171" s="10" t="s">
        <v>1609</v>
      </c>
      <c r="C171" s="10" t="s">
        <v>1893</v>
      </c>
      <c r="D171" s="10" t="s">
        <v>1921</v>
      </c>
      <c r="E171" s="10" t="s">
        <v>1922</v>
      </c>
      <c r="F171" s="10" t="s">
        <v>187</v>
      </c>
    </row>
    <row r="172" spans="1:6" x14ac:dyDescent="0.35">
      <c r="A172" s="10" t="s">
        <v>220</v>
      </c>
      <c r="B172" s="10" t="s">
        <v>1609</v>
      </c>
      <c r="C172" s="10" t="s">
        <v>1893</v>
      </c>
      <c r="D172" s="10" t="s">
        <v>1923</v>
      </c>
      <c r="E172" s="10" t="s">
        <v>1924</v>
      </c>
      <c r="F172" s="10" t="s">
        <v>187</v>
      </c>
    </row>
    <row r="173" spans="1:6" x14ac:dyDescent="0.35">
      <c r="A173" s="10" t="s">
        <v>220</v>
      </c>
      <c r="B173" s="10" t="s">
        <v>1609</v>
      </c>
      <c r="C173" s="10" t="s">
        <v>1893</v>
      </c>
      <c r="D173" s="10" t="s">
        <v>1925</v>
      </c>
      <c r="E173" s="10" t="s">
        <v>1926</v>
      </c>
      <c r="F173" s="10" t="s">
        <v>187</v>
      </c>
    </row>
    <row r="174" spans="1:6" x14ac:dyDescent="0.35">
      <c r="A174" s="10" t="s">
        <v>220</v>
      </c>
      <c r="B174" s="10" t="s">
        <v>1609</v>
      </c>
      <c r="C174" s="10" t="s">
        <v>1893</v>
      </c>
      <c r="D174" s="10" t="s">
        <v>1927</v>
      </c>
      <c r="E174" s="10" t="s">
        <v>1928</v>
      </c>
      <c r="F174" s="10" t="s">
        <v>187</v>
      </c>
    </row>
    <row r="175" spans="1:6" x14ac:dyDescent="0.35">
      <c r="A175" s="10" t="s">
        <v>220</v>
      </c>
      <c r="B175" s="10" t="s">
        <v>1650</v>
      </c>
      <c r="C175" s="10" t="s">
        <v>1929</v>
      </c>
      <c r="D175" s="10" t="s">
        <v>1883</v>
      </c>
      <c r="E175" s="10" t="s">
        <v>1930</v>
      </c>
      <c r="F175" s="10" t="s">
        <v>187</v>
      </c>
    </row>
    <row r="176" spans="1:6" x14ac:dyDescent="0.35">
      <c r="A176" s="10" t="s">
        <v>220</v>
      </c>
      <c r="B176" s="10" t="s">
        <v>1650</v>
      </c>
      <c r="C176" s="10" t="s">
        <v>1929</v>
      </c>
      <c r="D176" s="10" t="s">
        <v>1931</v>
      </c>
      <c r="E176" s="10" t="s">
        <v>1932</v>
      </c>
      <c r="F176" s="10" t="s">
        <v>187</v>
      </c>
    </row>
    <row r="177" spans="1:6" x14ac:dyDescent="0.35">
      <c r="A177" s="10" t="s">
        <v>220</v>
      </c>
      <c r="B177" s="10" t="s">
        <v>1650</v>
      </c>
      <c r="C177" s="10" t="s">
        <v>1929</v>
      </c>
      <c r="D177" s="10" t="s">
        <v>1933</v>
      </c>
      <c r="E177" s="10" t="s">
        <v>1934</v>
      </c>
      <c r="F177" s="10" t="s">
        <v>187</v>
      </c>
    </row>
    <row r="178" spans="1:6" x14ac:dyDescent="0.35">
      <c r="A178" s="10" t="s">
        <v>220</v>
      </c>
      <c r="B178" s="10" t="s">
        <v>1650</v>
      </c>
      <c r="C178" s="10" t="s">
        <v>1929</v>
      </c>
      <c r="D178" s="10" t="s">
        <v>1935</v>
      </c>
      <c r="E178" s="10" t="s">
        <v>1936</v>
      </c>
      <c r="F178" s="10" t="s">
        <v>187</v>
      </c>
    </row>
    <row r="179" spans="1:6" x14ac:dyDescent="0.35">
      <c r="A179" s="10" t="s">
        <v>220</v>
      </c>
      <c r="B179" s="10" t="s">
        <v>1650</v>
      </c>
      <c r="C179" s="10" t="s">
        <v>1929</v>
      </c>
      <c r="D179" s="10" t="s">
        <v>1937</v>
      </c>
      <c r="E179" s="10" t="s">
        <v>1938</v>
      </c>
      <c r="F179" s="10" t="s">
        <v>187</v>
      </c>
    </row>
    <row r="180" spans="1:6" x14ac:dyDescent="0.35">
      <c r="A180" s="10" t="s">
        <v>220</v>
      </c>
      <c r="B180" s="10" t="s">
        <v>1650</v>
      </c>
      <c r="C180" s="10" t="s">
        <v>1939</v>
      </c>
      <c r="D180" s="10" t="s">
        <v>1894</v>
      </c>
      <c r="E180" s="10" t="s">
        <v>1940</v>
      </c>
      <c r="F180" s="10" t="s">
        <v>187</v>
      </c>
    </row>
    <row r="181" spans="1:6" x14ac:dyDescent="0.35">
      <c r="A181" s="10" t="s">
        <v>220</v>
      </c>
      <c r="B181" s="10" t="s">
        <v>1650</v>
      </c>
      <c r="C181" s="10" t="s">
        <v>1939</v>
      </c>
      <c r="D181" s="10" t="s">
        <v>1896</v>
      </c>
      <c r="E181" s="10" t="s">
        <v>1941</v>
      </c>
      <c r="F181" s="10" t="s">
        <v>187</v>
      </c>
    </row>
    <row r="182" spans="1:6" x14ac:dyDescent="0.35">
      <c r="A182" s="10" t="s">
        <v>220</v>
      </c>
      <c r="B182" s="10" t="s">
        <v>1650</v>
      </c>
      <c r="C182" s="10" t="s">
        <v>1939</v>
      </c>
      <c r="D182" s="10" t="s">
        <v>1898</v>
      </c>
      <c r="E182" s="10" t="s">
        <v>1942</v>
      </c>
      <c r="F182" s="10" t="s">
        <v>187</v>
      </c>
    </row>
    <row r="183" spans="1:6" x14ac:dyDescent="0.35">
      <c r="A183" s="10" t="s">
        <v>220</v>
      </c>
      <c r="B183" s="10" t="s">
        <v>1650</v>
      </c>
      <c r="C183" s="10" t="s">
        <v>1939</v>
      </c>
      <c r="D183" s="10" t="s">
        <v>1900</v>
      </c>
      <c r="E183" s="10" t="s">
        <v>1943</v>
      </c>
      <c r="F183" s="10" t="s">
        <v>187</v>
      </c>
    </row>
    <row r="184" spans="1:6" x14ac:dyDescent="0.35">
      <c r="A184" s="10" t="s">
        <v>220</v>
      </c>
      <c r="B184" s="10" t="s">
        <v>1650</v>
      </c>
      <c r="C184" s="10" t="s">
        <v>1939</v>
      </c>
      <c r="D184" s="10" t="s">
        <v>1705</v>
      </c>
      <c r="E184" s="10" t="s">
        <v>1944</v>
      </c>
      <c r="F184" s="10" t="s">
        <v>187</v>
      </c>
    </row>
    <row r="185" spans="1:6" x14ac:dyDescent="0.35">
      <c r="A185" s="10" t="s">
        <v>220</v>
      </c>
      <c r="B185" s="10" t="s">
        <v>1650</v>
      </c>
      <c r="C185" s="10" t="s">
        <v>1939</v>
      </c>
      <c r="D185" s="10" t="s">
        <v>1902</v>
      </c>
      <c r="E185" s="10" t="s">
        <v>1945</v>
      </c>
      <c r="F185" s="10" t="s">
        <v>187</v>
      </c>
    </row>
    <row r="186" spans="1:6" x14ac:dyDescent="0.35">
      <c r="A186" s="10" t="s">
        <v>220</v>
      </c>
      <c r="B186" s="10" t="s">
        <v>1650</v>
      </c>
      <c r="C186" s="10" t="s">
        <v>1939</v>
      </c>
      <c r="D186" s="10" t="s">
        <v>1904</v>
      </c>
      <c r="E186" s="10" t="s">
        <v>1946</v>
      </c>
      <c r="F186" s="10" t="s">
        <v>187</v>
      </c>
    </row>
    <row r="187" spans="1:6" x14ac:dyDescent="0.35">
      <c r="A187" s="10" t="s">
        <v>220</v>
      </c>
      <c r="B187" s="10" t="s">
        <v>1650</v>
      </c>
      <c r="C187" s="10" t="s">
        <v>1939</v>
      </c>
      <c r="D187" s="10" t="s">
        <v>1906</v>
      </c>
      <c r="E187" s="10" t="s">
        <v>1947</v>
      </c>
      <c r="F187" s="10" t="s">
        <v>187</v>
      </c>
    </row>
    <row r="188" spans="1:6" x14ac:dyDescent="0.35">
      <c r="A188" s="10" t="s">
        <v>220</v>
      </c>
      <c r="B188" s="10" t="s">
        <v>1650</v>
      </c>
      <c r="C188" s="10" t="s">
        <v>1939</v>
      </c>
      <c r="D188" s="10" t="s">
        <v>1908</v>
      </c>
      <c r="E188" s="10" t="s">
        <v>1948</v>
      </c>
      <c r="F188" s="10" t="s">
        <v>187</v>
      </c>
    </row>
    <row r="189" spans="1:6" x14ac:dyDescent="0.35">
      <c r="A189" s="10" t="s">
        <v>220</v>
      </c>
      <c r="B189" s="10" t="s">
        <v>1650</v>
      </c>
      <c r="C189" s="10" t="s">
        <v>1939</v>
      </c>
      <c r="D189" s="10" t="s">
        <v>1910</v>
      </c>
      <c r="E189" s="10" t="s">
        <v>1949</v>
      </c>
      <c r="F189" s="10" t="s">
        <v>187</v>
      </c>
    </row>
    <row r="190" spans="1:6" x14ac:dyDescent="0.35">
      <c r="A190" s="10" t="s">
        <v>220</v>
      </c>
      <c r="B190" s="10" t="s">
        <v>1650</v>
      </c>
      <c r="C190" s="10" t="s">
        <v>1939</v>
      </c>
      <c r="D190" s="10" t="s">
        <v>1912</v>
      </c>
      <c r="E190" s="10" t="s">
        <v>1950</v>
      </c>
      <c r="F190" s="10" t="s">
        <v>187</v>
      </c>
    </row>
    <row r="191" spans="1:6" ht="25" x14ac:dyDescent="0.35">
      <c r="A191" s="10" t="s">
        <v>220</v>
      </c>
      <c r="B191" s="10" t="s">
        <v>1650</v>
      </c>
      <c r="C191" s="10" t="s">
        <v>1939</v>
      </c>
      <c r="D191" s="10" t="s">
        <v>1915</v>
      </c>
      <c r="E191" s="10" t="s">
        <v>1951</v>
      </c>
      <c r="F191" s="10" t="s">
        <v>187</v>
      </c>
    </row>
    <row r="192" spans="1:6" x14ac:dyDescent="0.35">
      <c r="A192" s="10" t="s">
        <v>220</v>
      </c>
      <c r="B192" s="10" t="s">
        <v>1650</v>
      </c>
      <c r="C192" s="10" t="s">
        <v>1939</v>
      </c>
      <c r="D192" s="10" t="s">
        <v>1849</v>
      </c>
      <c r="E192" s="10" t="s">
        <v>1952</v>
      </c>
      <c r="F192" s="10" t="s">
        <v>187</v>
      </c>
    </row>
    <row r="193" spans="1:6" x14ac:dyDescent="0.35">
      <c r="A193" s="10" t="s">
        <v>220</v>
      </c>
      <c r="B193" s="10" t="s">
        <v>1650</v>
      </c>
      <c r="C193" s="10" t="s">
        <v>1939</v>
      </c>
      <c r="D193" s="10" t="s">
        <v>1917</v>
      </c>
      <c r="E193" s="10" t="s">
        <v>1953</v>
      </c>
      <c r="F193" s="10" t="s">
        <v>187</v>
      </c>
    </row>
    <row r="194" spans="1:6" x14ac:dyDescent="0.35">
      <c r="A194" s="10" t="s">
        <v>220</v>
      </c>
      <c r="B194" s="10" t="s">
        <v>1650</v>
      </c>
      <c r="C194" s="10" t="s">
        <v>1939</v>
      </c>
      <c r="D194" s="10" t="s">
        <v>1919</v>
      </c>
      <c r="E194" s="10" t="s">
        <v>1954</v>
      </c>
      <c r="F194" s="10" t="s">
        <v>187</v>
      </c>
    </row>
    <row r="195" spans="1:6" x14ac:dyDescent="0.35">
      <c r="A195" s="10" t="s">
        <v>220</v>
      </c>
      <c r="B195" s="10" t="s">
        <v>1650</v>
      </c>
      <c r="C195" s="10" t="s">
        <v>1939</v>
      </c>
      <c r="D195" s="10" t="s">
        <v>1955</v>
      </c>
      <c r="E195" s="10" t="s">
        <v>1956</v>
      </c>
      <c r="F195" s="10" t="s">
        <v>187</v>
      </c>
    </row>
    <row r="196" spans="1:6" x14ac:dyDescent="0.35">
      <c r="A196" s="10" t="s">
        <v>220</v>
      </c>
      <c r="B196" s="10" t="s">
        <v>1650</v>
      </c>
      <c r="C196" s="10" t="s">
        <v>1939</v>
      </c>
      <c r="D196" s="10" t="s">
        <v>1921</v>
      </c>
      <c r="E196" s="10" t="s">
        <v>1957</v>
      </c>
      <c r="F196" s="10" t="s">
        <v>187</v>
      </c>
    </row>
    <row r="197" spans="1:6" x14ac:dyDescent="0.35">
      <c r="A197" s="10" t="s">
        <v>220</v>
      </c>
      <c r="B197" s="10" t="s">
        <v>1650</v>
      </c>
      <c r="C197" s="10" t="s">
        <v>1939</v>
      </c>
      <c r="D197" s="10" t="s">
        <v>1923</v>
      </c>
      <c r="E197" s="10" t="s">
        <v>1958</v>
      </c>
      <c r="F197" s="10" t="s">
        <v>187</v>
      </c>
    </row>
    <row r="198" spans="1:6" x14ac:dyDescent="0.35">
      <c r="A198" s="10" t="s">
        <v>220</v>
      </c>
      <c r="B198" s="10" t="s">
        <v>1650</v>
      </c>
      <c r="C198" s="10" t="s">
        <v>1939</v>
      </c>
      <c r="D198" s="10" t="s">
        <v>1927</v>
      </c>
      <c r="E198" s="10" t="s">
        <v>1959</v>
      </c>
      <c r="F198" s="10" t="s">
        <v>187</v>
      </c>
    </row>
    <row r="199" spans="1:6" x14ac:dyDescent="0.35">
      <c r="A199" s="10" t="s">
        <v>220</v>
      </c>
      <c r="B199" s="10" t="s">
        <v>1650</v>
      </c>
      <c r="C199" s="10" t="s">
        <v>1939</v>
      </c>
      <c r="D199" s="10" t="s">
        <v>1960</v>
      </c>
      <c r="E199" s="10" t="s">
        <v>1961</v>
      </c>
      <c r="F199" s="10" t="s">
        <v>187</v>
      </c>
    </row>
    <row r="200" spans="1:6" x14ac:dyDescent="0.35">
      <c r="A200" s="10" t="s">
        <v>220</v>
      </c>
      <c r="B200" s="10" t="s">
        <v>1667</v>
      </c>
      <c r="C200" s="10" t="s">
        <v>1851</v>
      </c>
      <c r="D200" s="10" t="s">
        <v>1962</v>
      </c>
      <c r="E200" s="10" t="s">
        <v>1963</v>
      </c>
      <c r="F200" s="10" t="s">
        <v>187</v>
      </c>
    </row>
    <row r="201" spans="1:6" x14ac:dyDescent="0.35">
      <c r="A201" s="10" t="s">
        <v>220</v>
      </c>
      <c r="B201" s="10" t="s">
        <v>1650</v>
      </c>
      <c r="C201" s="10" t="s">
        <v>1767</v>
      </c>
      <c r="D201" s="10" t="s">
        <v>1669</v>
      </c>
      <c r="E201" s="10" t="s">
        <v>1768</v>
      </c>
      <c r="F201" s="10" t="s">
        <v>187</v>
      </c>
    </row>
    <row r="202" spans="1:6" x14ac:dyDescent="0.35">
      <c r="A202" s="10" t="s">
        <v>220</v>
      </c>
      <c r="B202" s="10" t="s">
        <v>1650</v>
      </c>
      <c r="C202" s="10" t="s">
        <v>1767</v>
      </c>
      <c r="D202" s="10" t="s">
        <v>1964</v>
      </c>
      <c r="E202" s="10" t="s">
        <v>1965</v>
      </c>
      <c r="F202" s="10" t="s">
        <v>187</v>
      </c>
    </row>
    <row r="203" spans="1:6" x14ac:dyDescent="0.35">
      <c r="A203" s="10" t="s">
        <v>220</v>
      </c>
      <c r="B203" s="10" t="s">
        <v>1650</v>
      </c>
      <c r="C203" s="10" t="s">
        <v>1767</v>
      </c>
      <c r="D203" s="10" t="s">
        <v>1966</v>
      </c>
      <c r="E203" s="10" t="s">
        <v>1967</v>
      </c>
      <c r="F203" s="10" t="s">
        <v>187</v>
      </c>
    </row>
    <row r="204" spans="1:6" x14ac:dyDescent="0.35">
      <c r="A204" s="10" t="s">
        <v>220</v>
      </c>
      <c r="B204" s="10" t="s">
        <v>1650</v>
      </c>
      <c r="C204" s="10" t="s">
        <v>1767</v>
      </c>
      <c r="D204" s="10" t="s">
        <v>1968</v>
      </c>
      <c r="E204" s="10" t="s">
        <v>1969</v>
      </c>
      <c r="F204" s="10" t="s">
        <v>187</v>
      </c>
    </row>
    <row r="205" spans="1:6" x14ac:dyDescent="0.35">
      <c r="A205" s="10" t="s">
        <v>220</v>
      </c>
      <c r="B205" s="10" t="s">
        <v>1650</v>
      </c>
      <c r="C205" s="10" t="s">
        <v>1767</v>
      </c>
      <c r="D205" s="10" t="s">
        <v>1970</v>
      </c>
      <c r="E205" s="10" t="s">
        <v>1971</v>
      </c>
      <c r="F205" s="10" t="s">
        <v>187</v>
      </c>
    </row>
    <row r="206" spans="1:6" x14ac:dyDescent="0.35">
      <c r="A206" s="10" t="s">
        <v>220</v>
      </c>
      <c r="B206" s="10" t="s">
        <v>1650</v>
      </c>
      <c r="C206" s="10" t="s">
        <v>1767</v>
      </c>
      <c r="D206" s="10" t="s">
        <v>1972</v>
      </c>
      <c r="E206" s="10" t="s">
        <v>1973</v>
      </c>
      <c r="F206" s="10" t="s">
        <v>187</v>
      </c>
    </row>
    <row r="207" spans="1:6" x14ac:dyDescent="0.35">
      <c r="A207" s="10" t="s">
        <v>220</v>
      </c>
      <c r="B207" s="10" t="s">
        <v>1650</v>
      </c>
      <c r="C207" s="10" t="s">
        <v>1767</v>
      </c>
      <c r="D207" s="10" t="s">
        <v>1974</v>
      </c>
      <c r="E207" s="10" t="s">
        <v>1975</v>
      </c>
      <c r="F207" s="10" t="s">
        <v>187</v>
      </c>
    </row>
    <row r="208" spans="1:6" x14ac:dyDescent="0.35">
      <c r="A208" s="10" t="s">
        <v>220</v>
      </c>
      <c r="B208" s="10" t="s">
        <v>1650</v>
      </c>
      <c r="C208" s="10" t="s">
        <v>1767</v>
      </c>
      <c r="D208" s="10" t="s">
        <v>1976</v>
      </c>
      <c r="E208" s="10" t="s">
        <v>1977</v>
      </c>
      <c r="F208" s="10" t="s">
        <v>187</v>
      </c>
    </row>
    <row r="209" spans="1:6" x14ac:dyDescent="0.35">
      <c r="A209" s="10" t="s">
        <v>220</v>
      </c>
      <c r="B209" s="10" t="s">
        <v>1650</v>
      </c>
      <c r="C209" s="10" t="s">
        <v>1767</v>
      </c>
      <c r="D209" s="10" t="s">
        <v>1978</v>
      </c>
      <c r="E209" s="10" t="s">
        <v>1979</v>
      </c>
      <c r="F209" s="10" t="s">
        <v>187</v>
      </c>
    </row>
    <row r="210" spans="1:6" x14ac:dyDescent="0.35">
      <c r="A210" s="10" t="s">
        <v>220</v>
      </c>
      <c r="B210" s="10" t="s">
        <v>1667</v>
      </c>
      <c r="C210" s="10" t="s">
        <v>1668</v>
      </c>
      <c r="D210" s="10" t="s">
        <v>1789</v>
      </c>
      <c r="E210" s="10" t="s">
        <v>1790</v>
      </c>
      <c r="F210" s="10" t="s">
        <v>187</v>
      </c>
    </row>
    <row r="211" spans="1:6" x14ac:dyDescent="0.35">
      <c r="A211" s="10" t="s">
        <v>220</v>
      </c>
      <c r="B211" s="10" t="s">
        <v>1667</v>
      </c>
      <c r="C211" s="10" t="s">
        <v>1668</v>
      </c>
      <c r="D211" s="10" t="s">
        <v>1791</v>
      </c>
      <c r="E211" s="10" t="s">
        <v>1792</v>
      </c>
      <c r="F211" s="10" t="s">
        <v>187</v>
      </c>
    </row>
    <row r="212" spans="1:6" x14ac:dyDescent="0.35">
      <c r="A212" s="10" t="s">
        <v>220</v>
      </c>
      <c r="B212" s="10" t="s">
        <v>1667</v>
      </c>
      <c r="C212" s="10" t="s">
        <v>1980</v>
      </c>
      <c r="D212" s="10" t="s">
        <v>1981</v>
      </c>
      <c r="E212" s="10" t="s">
        <v>1982</v>
      </c>
      <c r="F212" s="10" t="s">
        <v>187</v>
      </c>
    </row>
    <row r="213" spans="1:6" x14ac:dyDescent="0.35">
      <c r="A213" s="10" t="s">
        <v>232</v>
      </c>
      <c r="B213" s="10" t="s">
        <v>1609</v>
      </c>
      <c r="C213" s="10" t="s">
        <v>1983</v>
      </c>
      <c r="D213" s="10" t="s">
        <v>1984</v>
      </c>
      <c r="E213" s="10" t="s">
        <v>1985</v>
      </c>
      <c r="F213" s="10" t="s">
        <v>187</v>
      </c>
    </row>
    <row r="214" spans="1:6" x14ac:dyDescent="0.35">
      <c r="A214" s="10" t="s">
        <v>232</v>
      </c>
      <c r="B214" s="10" t="s">
        <v>1609</v>
      </c>
      <c r="C214" s="10" t="s">
        <v>1986</v>
      </c>
      <c r="D214" s="10" t="s">
        <v>1987</v>
      </c>
      <c r="E214" s="10" t="s">
        <v>1988</v>
      </c>
      <c r="F214" s="10" t="s">
        <v>187</v>
      </c>
    </row>
    <row r="215" spans="1:6" x14ac:dyDescent="0.35">
      <c r="A215" s="10" t="s">
        <v>232</v>
      </c>
      <c r="B215" s="10" t="s">
        <v>1609</v>
      </c>
      <c r="C215" s="10" t="s">
        <v>1989</v>
      </c>
      <c r="D215" s="10" t="s">
        <v>1990</v>
      </c>
      <c r="E215" s="10" t="s">
        <v>1991</v>
      </c>
      <c r="F215" s="10" t="s">
        <v>187</v>
      </c>
    </row>
    <row r="216" spans="1:6" x14ac:dyDescent="0.35">
      <c r="A216" s="10" t="s">
        <v>232</v>
      </c>
      <c r="B216" s="10" t="s">
        <v>1609</v>
      </c>
      <c r="C216" s="10" t="s">
        <v>1989</v>
      </c>
      <c r="D216" s="10" t="s">
        <v>1992</v>
      </c>
      <c r="E216" s="10" t="s">
        <v>1993</v>
      </c>
      <c r="F216" s="10" t="s">
        <v>187</v>
      </c>
    </row>
    <row r="217" spans="1:6" x14ac:dyDescent="0.35">
      <c r="A217" s="10" t="s">
        <v>232</v>
      </c>
      <c r="B217" s="10" t="s">
        <v>1609</v>
      </c>
      <c r="C217" s="10" t="s">
        <v>1989</v>
      </c>
      <c r="D217" s="10" t="s">
        <v>1994</v>
      </c>
      <c r="E217" s="10" t="s">
        <v>1995</v>
      </c>
      <c r="F217" s="10" t="s">
        <v>187</v>
      </c>
    </row>
    <row r="218" spans="1:6" x14ac:dyDescent="0.35">
      <c r="A218" s="10" t="s">
        <v>232</v>
      </c>
      <c r="B218" s="10" t="s">
        <v>1609</v>
      </c>
      <c r="C218" s="10" t="s">
        <v>1989</v>
      </c>
      <c r="D218" s="10" t="s">
        <v>1996</v>
      </c>
      <c r="E218" s="10" t="s">
        <v>1997</v>
      </c>
      <c r="F218" s="10" t="s">
        <v>187</v>
      </c>
    </row>
    <row r="219" spans="1:6" x14ac:dyDescent="0.35">
      <c r="A219" s="10" t="s">
        <v>232</v>
      </c>
      <c r="B219" s="10" t="s">
        <v>1609</v>
      </c>
      <c r="C219" s="10" t="s">
        <v>1989</v>
      </c>
      <c r="D219" s="10" t="s">
        <v>1998</v>
      </c>
      <c r="E219" s="10" t="s">
        <v>1999</v>
      </c>
      <c r="F219" s="10" t="s">
        <v>187</v>
      </c>
    </row>
    <row r="220" spans="1:6" x14ac:dyDescent="0.35">
      <c r="A220" s="10" t="s">
        <v>232</v>
      </c>
      <c r="B220" s="10" t="s">
        <v>1609</v>
      </c>
      <c r="C220" s="10" t="s">
        <v>1989</v>
      </c>
      <c r="D220" s="10" t="s">
        <v>1648</v>
      </c>
      <c r="E220" s="10" t="s">
        <v>1649</v>
      </c>
      <c r="F220" s="10" t="s">
        <v>187</v>
      </c>
    </row>
    <row r="221" spans="1:6" x14ac:dyDescent="0.35">
      <c r="A221" s="10" t="s">
        <v>232</v>
      </c>
      <c r="B221" s="10" t="s">
        <v>1609</v>
      </c>
      <c r="C221" s="10" t="s">
        <v>1989</v>
      </c>
      <c r="D221" s="10" t="s">
        <v>2000</v>
      </c>
      <c r="E221" s="10" t="s">
        <v>2001</v>
      </c>
      <c r="F221" s="10" t="s">
        <v>187</v>
      </c>
    </row>
    <row r="222" spans="1:6" x14ac:dyDescent="0.35">
      <c r="A222" s="10" t="s">
        <v>232</v>
      </c>
      <c r="B222" s="10" t="s">
        <v>1609</v>
      </c>
      <c r="C222" s="10" t="s">
        <v>1989</v>
      </c>
      <c r="D222" s="10" t="s">
        <v>2002</v>
      </c>
      <c r="E222" s="10" t="s">
        <v>2003</v>
      </c>
      <c r="F222" s="10" t="s">
        <v>187</v>
      </c>
    </row>
    <row r="223" spans="1:6" x14ac:dyDescent="0.35">
      <c r="A223" s="10" t="s">
        <v>232</v>
      </c>
      <c r="B223" s="10" t="s">
        <v>1609</v>
      </c>
      <c r="C223" s="10" t="s">
        <v>1989</v>
      </c>
      <c r="D223" s="10" t="s">
        <v>2004</v>
      </c>
      <c r="E223" s="10" t="s">
        <v>2005</v>
      </c>
      <c r="F223" s="10" t="s">
        <v>187</v>
      </c>
    </row>
    <row r="224" spans="1:6" x14ac:dyDescent="0.35">
      <c r="A224" s="10" t="s">
        <v>232</v>
      </c>
      <c r="B224" s="10" t="s">
        <v>1609</v>
      </c>
      <c r="C224" s="10" t="s">
        <v>2006</v>
      </c>
      <c r="D224" s="10" t="s">
        <v>2007</v>
      </c>
      <c r="E224" s="10" t="s">
        <v>2008</v>
      </c>
      <c r="F224" s="10" t="s">
        <v>187</v>
      </c>
    </row>
    <row r="225" spans="1:6" x14ac:dyDescent="0.35">
      <c r="A225" s="10" t="s">
        <v>232</v>
      </c>
      <c r="B225" s="10" t="s">
        <v>1609</v>
      </c>
      <c r="C225" s="10" t="s">
        <v>2006</v>
      </c>
      <c r="D225" s="10" t="s">
        <v>2009</v>
      </c>
      <c r="E225" s="10" t="s">
        <v>2010</v>
      </c>
      <c r="F225" s="10" t="s">
        <v>187</v>
      </c>
    </row>
    <row r="226" spans="1:6" x14ac:dyDescent="0.35">
      <c r="A226" s="10" t="s">
        <v>232</v>
      </c>
      <c r="B226" s="10" t="s">
        <v>1609</v>
      </c>
      <c r="C226" s="10" t="s">
        <v>2006</v>
      </c>
      <c r="D226" s="10" t="s">
        <v>1866</v>
      </c>
      <c r="E226" s="10" t="s">
        <v>2011</v>
      </c>
      <c r="F226" s="10" t="s">
        <v>187</v>
      </c>
    </row>
    <row r="227" spans="1:6" x14ac:dyDescent="0.35">
      <c r="A227" s="10" t="s">
        <v>232</v>
      </c>
      <c r="B227" s="10" t="s">
        <v>1609</v>
      </c>
      <c r="C227" s="10" t="s">
        <v>2006</v>
      </c>
      <c r="D227" s="10" t="s">
        <v>2012</v>
      </c>
      <c r="E227" s="10" t="s">
        <v>2013</v>
      </c>
      <c r="F227" s="10" t="s">
        <v>187</v>
      </c>
    </row>
    <row r="228" spans="1:6" x14ac:dyDescent="0.35">
      <c r="A228" s="10" t="s">
        <v>232</v>
      </c>
      <c r="B228" s="10" t="s">
        <v>1609</v>
      </c>
      <c r="C228" s="10" t="s">
        <v>2006</v>
      </c>
      <c r="D228" s="10" t="s">
        <v>2014</v>
      </c>
      <c r="E228" s="10" t="s">
        <v>2015</v>
      </c>
      <c r="F228" s="10" t="s">
        <v>187</v>
      </c>
    </row>
    <row r="229" spans="1:6" x14ac:dyDescent="0.35">
      <c r="A229" s="10" t="s">
        <v>232</v>
      </c>
      <c r="B229" s="10" t="s">
        <v>1609</v>
      </c>
      <c r="C229" s="10" t="s">
        <v>2016</v>
      </c>
      <c r="D229" s="10" t="s">
        <v>1990</v>
      </c>
      <c r="E229" s="10" t="s">
        <v>1991</v>
      </c>
      <c r="F229" s="10" t="s">
        <v>187</v>
      </c>
    </row>
    <row r="230" spans="1:6" x14ac:dyDescent="0.35">
      <c r="A230" s="10" t="s">
        <v>232</v>
      </c>
      <c r="B230" s="10" t="s">
        <v>1609</v>
      </c>
      <c r="C230" s="10" t="s">
        <v>2016</v>
      </c>
      <c r="D230" s="10" t="s">
        <v>1992</v>
      </c>
      <c r="E230" s="10" t="s">
        <v>1993</v>
      </c>
      <c r="F230" s="10" t="s">
        <v>187</v>
      </c>
    </row>
    <row r="231" spans="1:6" x14ac:dyDescent="0.35">
      <c r="A231" s="10" t="s">
        <v>232</v>
      </c>
      <c r="B231" s="10" t="s">
        <v>1609</v>
      </c>
      <c r="C231" s="10" t="s">
        <v>2016</v>
      </c>
      <c r="D231" s="10" t="s">
        <v>2017</v>
      </c>
      <c r="E231" s="10" t="s">
        <v>2018</v>
      </c>
      <c r="F231" s="10" t="s">
        <v>187</v>
      </c>
    </row>
    <row r="232" spans="1:6" x14ac:dyDescent="0.35">
      <c r="A232" s="10" t="s">
        <v>232</v>
      </c>
      <c r="B232" s="10" t="s">
        <v>1609</v>
      </c>
      <c r="C232" s="10" t="s">
        <v>2019</v>
      </c>
      <c r="D232" s="10" t="s">
        <v>1990</v>
      </c>
      <c r="E232" s="10" t="s">
        <v>1991</v>
      </c>
      <c r="F232" s="10" t="s">
        <v>187</v>
      </c>
    </row>
    <row r="233" spans="1:6" x14ac:dyDescent="0.35">
      <c r="A233" s="10" t="s">
        <v>232</v>
      </c>
      <c r="B233" s="10" t="s">
        <v>1609</v>
      </c>
      <c r="C233" s="10" t="s">
        <v>2019</v>
      </c>
      <c r="D233" s="10" t="s">
        <v>1992</v>
      </c>
      <c r="E233" s="10" t="s">
        <v>1993</v>
      </c>
      <c r="F233" s="10" t="s">
        <v>187</v>
      </c>
    </row>
    <row r="234" spans="1:6" x14ac:dyDescent="0.35">
      <c r="A234" s="10" t="s">
        <v>232</v>
      </c>
      <c r="B234" s="10" t="s">
        <v>1609</v>
      </c>
      <c r="C234" s="10" t="s">
        <v>2019</v>
      </c>
      <c r="D234" s="10" t="s">
        <v>2020</v>
      </c>
      <c r="E234" s="10" t="s">
        <v>2021</v>
      </c>
      <c r="F234" s="10" t="s">
        <v>187</v>
      </c>
    </row>
    <row r="235" spans="1:6" x14ac:dyDescent="0.35">
      <c r="A235" s="10" t="s">
        <v>232</v>
      </c>
      <c r="B235" s="10" t="s">
        <v>1609</v>
      </c>
      <c r="C235" s="10" t="s">
        <v>2019</v>
      </c>
      <c r="D235" s="10" t="s">
        <v>2022</v>
      </c>
      <c r="E235" s="10" t="s">
        <v>2023</v>
      </c>
      <c r="F235" s="10" t="s">
        <v>187</v>
      </c>
    </row>
    <row r="236" spans="1:6" x14ac:dyDescent="0.35">
      <c r="A236" s="10" t="s">
        <v>232</v>
      </c>
      <c r="B236" s="10" t="s">
        <v>1609</v>
      </c>
      <c r="C236" s="10" t="s">
        <v>2019</v>
      </c>
      <c r="D236" s="10" t="s">
        <v>1996</v>
      </c>
      <c r="E236" s="10" t="s">
        <v>1997</v>
      </c>
      <c r="F236" s="10" t="s">
        <v>187</v>
      </c>
    </row>
    <row r="237" spans="1:6" x14ac:dyDescent="0.35">
      <c r="A237" s="10" t="s">
        <v>232</v>
      </c>
      <c r="B237" s="10" t="s">
        <v>1609</v>
      </c>
      <c r="C237" s="10" t="s">
        <v>2024</v>
      </c>
      <c r="D237" s="10" t="s">
        <v>2025</v>
      </c>
      <c r="E237" s="10" t="s">
        <v>2026</v>
      </c>
      <c r="F237" s="10" t="s">
        <v>187</v>
      </c>
    </row>
    <row r="238" spans="1:6" x14ac:dyDescent="0.35">
      <c r="A238" s="10" t="s">
        <v>232</v>
      </c>
      <c r="B238" s="10" t="s">
        <v>1609</v>
      </c>
      <c r="C238" s="10" t="s">
        <v>2024</v>
      </c>
      <c r="D238" s="10" t="s">
        <v>2027</v>
      </c>
      <c r="E238" s="10" t="s">
        <v>2028</v>
      </c>
      <c r="F238" s="10" t="s">
        <v>187</v>
      </c>
    </row>
    <row r="239" spans="1:6" x14ac:dyDescent="0.35">
      <c r="A239" s="10" t="s">
        <v>232</v>
      </c>
      <c r="B239" s="10" t="s">
        <v>1609</v>
      </c>
      <c r="C239" s="10" t="s">
        <v>2024</v>
      </c>
      <c r="D239" s="10" t="s">
        <v>2029</v>
      </c>
      <c r="E239" s="10" t="s">
        <v>2030</v>
      </c>
      <c r="F239" s="10" t="s">
        <v>187</v>
      </c>
    </row>
    <row r="240" spans="1:6" x14ac:dyDescent="0.35">
      <c r="A240" s="10" t="s">
        <v>232</v>
      </c>
      <c r="B240" s="10" t="s">
        <v>1609</v>
      </c>
      <c r="C240" s="10" t="s">
        <v>2024</v>
      </c>
      <c r="D240" s="10" t="s">
        <v>2031</v>
      </c>
      <c r="E240" s="10" t="s">
        <v>2032</v>
      </c>
      <c r="F240" s="10" t="s">
        <v>187</v>
      </c>
    </row>
    <row r="241" spans="1:6" x14ac:dyDescent="0.35">
      <c r="A241" s="10" t="s">
        <v>232</v>
      </c>
      <c r="B241" s="10" t="s">
        <v>1609</v>
      </c>
      <c r="C241" s="10" t="s">
        <v>2033</v>
      </c>
      <c r="D241" s="10" t="s">
        <v>1990</v>
      </c>
      <c r="E241" s="10" t="s">
        <v>1991</v>
      </c>
      <c r="F241" s="10" t="s">
        <v>187</v>
      </c>
    </row>
    <row r="242" spans="1:6" x14ac:dyDescent="0.35">
      <c r="A242" s="10" t="s">
        <v>232</v>
      </c>
      <c r="B242" s="10" t="s">
        <v>1609</v>
      </c>
      <c r="C242" s="10" t="s">
        <v>2033</v>
      </c>
      <c r="D242" s="10" t="s">
        <v>1992</v>
      </c>
      <c r="E242" s="10" t="s">
        <v>1993</v>
      </c>
      <c r="F242" s="10" t="s">
        <v>187</v>
      </c>
    </row>
    <row r="243" spans="1:6" x14ac:dyDescent="0.35">
      <c r="A243" s="10" t="s">
        <v>232</v>
      </c>
      <c r="B243" s="10" t="s">
        <v>1609</v>
      </c>
      <c r="C243" s="10" t="s">
        <v>2033</v>
      </c>
      <c r="D243" s="10" t="s">
        <v>1996</v>
      </c>
      <c r="E243" s="10" t="s">
        <v>1997</v>
      </c>
      <c r="F243" s="10" t="s">
        <v>187</v>
      </c>
    </row>
    <row r="244" spans="1:6" x14ac:dyDescent="0.35">
      <c r="A244" s="10" t="s">
        <v>232</v>
      </c>
      <c r="B244" s="10" t="s">
        <v>1609</v>
      </c>
      <c r="C244" s="10" t="s">
        <v>2033</v>
      </c>
      <c r="D244" s="10" t="s">
        <v>1998</v>
      </c>
      <c r="E244" s="10" t="s">
        <v>1999</v>
      </c>
      <c r="F244" s="10" t="s">
        <v>187</v>
      </c>
    </row>
    <row r="245" spans="1:6" x14ac:dyDescent="0.35">
      <c r="A245" s="10" t="s">
        <v>232</v>
      </c>
      <c r="B245" s="10" t="s">
        <v>1609</v>
      </c>
      <c r="C245" s="10" t="s">
        <v>2033</v>
      </c>
      <c r="D245" s="10" t="s">
        <v>1648</v>
      </c>
      <c r="E245" s="10" t="s">
        <v>1649</v>
      </c>
      <c r="F245" s="10" t="s">
        <v>187</v>
      </c>
    </row>
    <row r="246" spans="1:6" x14ac:dyDescent="0.35">
      <c r="A246" s="10" t="s">
        <v>232</v>
      </c>
      <c r="B246" s="10" t="s">
        <v>1609</v>
      </c>
      <c r="C246" s="10" t="s">
        <v>2033</v>
      </c>
      <c r="D246" s="10" t="s">
        <v>2000</v>
      </c>
      <c r="E246" s="10" t="s">
        <v>2001</v>
      </c>
      <c r="F246" s="10" t="s">
        <v>187</v>
      </c>
    </row>
    <row r="247" spans="1:6" x14ac:dyDescent="0.35">
      <c r="A247" s="10" t="s">
        <v>232</v>
      </c>
      <c r="B247" s="10" t="s">
        <v>1609</v>
      </c>
      <c r="C247" s="10" t="s">
        <v>2034</v>
      </c>
      <c r="D247" s="10" t="s">
        <v>2035</v>
      </c>
      <c r="E247" s="10" t="s">
        <v>2036</v>
      </c>
      <c r="F247" s="10" t="s">
        <v>187</v>
      </c>
    </row>
    <row r="248" spans="1:6" x14ac:dyDescent="0.35">
      <c r="A248" s="10" t="s">
        <v>232</v>
      </c>
      <c r="B248" s="10" t="s">
        <v>1609</v>
      </c>
      <c r="C248" s="10" t="s">
        <v>2037</v>
      </c>
      <c r="D248" s="10" t="s">
        <v>1990</v>
      </c>
      <c r="E248" s="10" t="s">
        <v>1991</v>
      </c>
      <c r="F248" s="10" t="s">
        <v>187</v>
      </c>
    </row>
    <row r="249" spans="1:6" x14ac:dyDescent="0.35">
      <c r="A249" s="10" t="s">
        <v>232</v>
      </c>
      <c r="B249" s="10" t="s">
        <v>1609</v>
      </c>
      <c r="C249" s="10" t="s">
        <v>2037</v>
      </c>
      <c r="D249" s="10" t="s">
        <v>2002</v>
      </c>
      <c r="E249" s="10" t="s">
        <v>2003</v>
      </c>
      <c r="F249" s="10" t="s">
        <v>187</v>
      </c>
    </row>
    <row r="250" spans="1:6" x14ac:dyDescent="0.35">
      <c r="A250" s="10" t="s">
        <v>232</v>
      </c>
      <c r="B250" s="10" t="s">
        <v>1609</v>
      </c>
      <c r="C250" s="10" t="s">
        <v>2037</v>
      </c>
      <c r="D250" s="10" t="s">
        <v>1992</v>
      </c>
      <c r="E250" s="10" t="s">
        <v>1993</v>
      </c>
      <c r="F250" s="10" t="s">
        <v>187</v>
      </c>
    </row>
    <row r="251" spans="1:6" x14ac:dyDescent="0.35">
      <c r="A251" s="10" t="s">
        <v>232</v>
      </c>
      <c r="B251" s="10" t="s">
        <v>1609</v>
      </c>
      <c r="C251" s="10" t="s">
        <v>2037</v>
      </c>
      <c r="D251" s="10" t="s">
        <v>2038</v>
      </c>
      <c r="E251" s="10" t="s">
        <v>2039</v>
      </c>
      <c r="F251" s="10" t="s">
        <v>187</v>
      </c>
    </row>
    <row r="252" spans="1:6" x14ac:dyDescent="0.35">
      <c r="A252" s="10" t="s">
        <v>232</v>
      </c>
      <c r="B252" s="10" t="s">
        <v>1609</v>
      </c>
      <c r="C252" s="10" t="s">
        <v>2037</v>
      </c>
      <c r="D252" s="10" t="s">
        <v>2020</v>
      </c>
      <c r="E252" s="10" t="s">
        <v>2021</v>
      </c>
      <c r="F252" s="10" t="s">
        <v>187</v>
      </c>
    </row>
    <row r="253" spans="1:6" x14ac:dyDescent="0.35">
      <c r="A253" s="10" t="s">
        <v>232</v>
      </c>
      <c r="B253" s="10" t="s">
        <v>1609</v>
      </c>
      <c r="C253" s="10" t="s">
        <v>2037</v>
      </c>
      <c r="D253" s="10" t="s">
        <v>2040</v>
      </c>
      <c r="E253" s="10" t="s">
        <v>2041</v>
      </c>
      <c r="F253" s="10" t="s">
        <v>187</v>
      </c>
    </row>
    <row r="254" spans="1:6" x14ac:dyDescent="0.35">
      <c r="A254" s="10" t="s">
        <v>232</v>
      </c>
      <c r="B254" s="10" t="s">
        <v>1609</v>
      </c>
      <c r="C254" s="10" t="s">
        <v>2037</v>
      </c>
      <c r="D254" s="10" t="s">
        <v>1996</v>
      </c>
      <c r="E254" s="10" t="s">
        <v>1997</v>
      </c>
      <c r="F254" s="10" t="s">
        <v>187</v>
      </c>
    </row>
    <row r="255" spans="1:6" x14ac:dyDescent="0.35">
      <c r="A255" s="10" t="s">
        <v>232</v>
      </c>
      <c r="B255" s="10" t="s">
        <v>1609</v>
      </c>
      <c r="C255" s="10" t="s">
        <v>2037</v>
      </c>
      <c r="D255" s="10" t="s">
        <v>1998</v>
      </c>
      <c r="E255" s="10" t="s">
        <v>1999</v>
      </c>
      <c r="F255" s="10" t="s">
        <v>187</v>
      </c>
    </row>
    <row r="256" spans="1:6" x14ac:dyDescent="0.35">
      <c r="A256" s="10" t="s">
        <v>232</v>
      </c>
      <c r="B256" s="10" t="s">
        <v>1609</v>
      </c>
      <c r="C256" s="10" t="s">
        <v>2037</v>
      </c>
      <c r="D256" s="10" t="s">
        <v>1648</v>
      </c>
      <c r="E256" s="10" t="s">
        <v>1649</v>
      </c>
      <c r="F256" s="10" t="s">
        <v>187</v>
      </c>
    </row>
    <row r="257" spans="1:6" x14ac:dyDescent="0.35">
      <c r="A257" s="10" t="s">
        <v>232</v>
      </c>
      <c r="B257" s="10" t="s">
        <v>1609</v>
      </c>
      <c r="C257" s="10" t="s">
        <v>2037</v>
      </c>
      <c r="D257" s="10" t="s">
        <v>2000</v>
      </c>
      <c r="E257" s="10" t="s">
        <v>2001</v>
      </c>
      <c r="F257" s="10" t="s">
        <v>187</v>
      </c>
    </row>
    <row r="258" spans="1:6" x14ac:dyDescent="0.35">
      <c r="A258" s="10" t="s">
        <v>232</v>
      </c>
      <c r="B258" s="10" t="s">
        <v>1609</v>
      </c>
      <c r="C258" s="10" t="s">
        <v>2037</v>
      </c>
      <c r="D258" s="10" t="s">
        <v>1868</v>
      </c>
      <c r="E258" s="10" t="s">
        <v>2042</v>
      </c>
      <c r="F258" s="10" t="s">
        <v>187</v>
      </c>
    </row>
    <row r="259" spans="1:6" x14ac:dyDescent="0.35">
      <c r="A259" s="10" t="s">
        <v>232</v>
      </c>
      <c r="B259" s="10" t="s">
        <v>1609</v>
      </c>
      <c r="C259" s="10" t="s">
        <v>2043</v>
      </c>
      <c r="D259" s="10" t="s">
        <v>1990</v>
      </c>
      <c r="E259" s="10" t="s">
        <v>1991</v>
      </c>
      <c r="F259" s="10" t="s">
        <v>187</v>
      </c>
    </row>
    <row r="260" spans="1:6" x14ac:dyDescent="0.35">
      <c r="A260" s="10" t="s">
        <v>232</v>
      </c>
      <c r="B260" s="10" t="s">
        <v>1609</v>
      </c>
      <c r="C260" s="10" t="s">
        <v>2043</v>
      </c>
      <c r="D260" s="10" t="s">
        <v>1992</v>
      </c>
      <c r="E260" s="10" t="s">
        <v>1993</v>
      </c>
      <c r="F260" s="10" t="s">
        <v>187</v>
      </c>
    </row>
    <row r="261" spans="1:6" x14ac:dyDescent="0.35">
      <c r="A261" s="10" t="s">
        <v>232</v>
      </c>
      <c r="B261" s="10" t="s">
        <v>1609</v>
      </c>
      <c r="C261" s="10" t="s">
        <v>2043</v>
      </c>
      <c r="D261" s="10" t="s">
        <v>2044</v>
      </c>
      <c r="E261" s="10" t="s">
        <v>2045</v>
      </c>
      <c r="F261" s="10" t="s">
        <v>187</v>
      </c>
    </row>
    <row r="262" spans="1:6" x14ac:dyDescent="0.35">
      <c r="A262" s="10" t="s">
        <v>232</v>
      </c>
      <c r="B262" s="10" t="s">
        <v>1609</v>
      </c>
      <c r="C262" s="10" t="s">
        <v>2043</v>
      </c>
      <c r="D262" s="10" t="s">
        <v>2046</v>
      </c>
      <c r="E262" s="10" t="s">
        <v>2047</v>
      </c>
      <c r="F262" s="10" t="s">
        <v>187</v>
      </c>
    </row>
    <row r="263" spans="1:6" x14ac:dyDescent="0.35">
      <c r="A263" s="10" t="s">
        <v>232</v>
      </c>
      <c r="B263" s="10" t="s">
        <v>1609</v>
      </c>
      <c r="C263" s="10" t="s">
        <v>2048</v>
      </c>
      <c r="D263" s="10" t="s">
        <v>1990</v>
      </c>
      <c r="E263" s="10" t="s">
        <v>1991</v>
      </c>
      <c r="F263" s="10" t="s">
        <v>187</v>
      </c>
    </row>
    <row r="264" spans="1:6" x14ac:dyDescent="0.35">
      <c r="A264" s="10" t="s">
        <v>232</v>
      </c>
      <c r="B264" s="10" t="s">
        <v>1609</v>
      </c>
      <c r="C264" s="10" t="s">
        <v>2048</v>
      </c>
      <c r="D264" s="10" t="s">
        <v>1992</v>
      </c>
      <c r="E264" s="10" t="s">
        <v>1993</v>
      </c>
      <c r="F264" s="10" t="s">
        <v>187</v>
      </c>
    </row>
    <row r="265" spans="1:6" x14ac:dyDescent="0.35">
      <c r="A265" s="10" t="s">
        <v>232</v>
      </c>
      <c r="B265" s="10" t="s">
        <v>1609</v>
      </c>
      <c r="C265" s="10" t="s">
        <v>2048</v>
      </c>
      <c r="D265" s="10" t="s">
        <v>2049</v>
      </c>
      <c r="E265" s="10" t="s">
        <v>2050</v>
      </c>
      <c r="F265" s="10" t="s">
        <v>187</v>
      </c>
    </row>
    <row r="266" spans="1:6" x14ac:dyDescent="0.35">
      <c r="A266" s="10" t="s">
        <v>232</v>
      </c>
      <c r="B266" s="10" t="s">
        <v>1609</v>
      </c>
      <c r="C266" s="10" t="s">
        <v>2048</v>
      </c>
      <c r="D266" s="10" t="s">
        <v>2044</v>
      </c>
      <c r="E266" s="10" t="s">
        <v>2045</v>
      </c>
      <c r="F266" s="10" t="s">
        <v>187</v>
      </c>
    </row>
    <row r="267" spans="1:6" x14ac:dyDescent="0.35">
      <c r="A267" s="10" t="s">
        <v>232</v>
      </c>
      <c r="B267" s="10" t="s">
        <v>1609</v>
      </c>
      <c r="C267" s="10" t="s">
        <v>2048</v>
      </c>
      <c r="D267" s="10" t="s">
        <v>2040</v>
      </c>
      <c r="E267" s="10" t="s">
        <v>2041</v>
      </c>
      <c r="F267" s="10" t="s">
        <v>187</v>
      </c>
    </row>
    <row r="268" spans="1:6" x14ac:dyDescent="0.35">
      <c r="A268" s="10" t="s">
        <v>232</v>
      </c>
      <c r="B268" s="10" t="s">
        <v>1609</v>
      </c>
      <c r="C268" s="10" t="s">
        <v>2048</v>
      </c>
      <c r="D268" s="10" t="s">
        <v>2020</v>
      </c>
      <c r="E268" s="10" t="s">
        <v>2021</v>
      </c>
      <c r="F268" s="10" t="s">
        <v>187</v>
      </c>
    </row>
    <row r="269" spans="1:6" x14ac:dyDescent="0.35">
      <c r="A269" s="10" t="s">
        <v>232</v>
      </c>
      <c r="B269" s="10" t="s">
        <v>1609</v>
      </c>
      <c r="C269" s="10" t="s">
        <v>2048</v>
      </c>
      <c r="D269" s="10" t="s">
        <v>2051</v>
      </c>
      <c r="E269" s="10" t="s">
        <v>2052</v>
      </c>
      <c r="F269" s="10" t="s">
        <v>187</v>
      </c>
    </row>
    <row r="270" spans="1:6" x14ac:dyDescent="0.35">
      <c r="A270" s="10" t="s">
        <v>232</v>
      </c>
      <c r="B270" s="10" t="s">
        <v>1609</v>
      </c>
      <c r="C270" s="10" t="s">
        <v>2048</v>
      </c>
      <c r="D270" s="10" t="s">
        <v>1626</v>
      </c>
      <c r="E270" s="10" t="s">
        <v>1627</v>
      </c>
      <c r="F270" s="10" t="s">
        <v>187</v>
      </c>
    </row>
    <row r="271" spans="1:6" x14ac:dyDescent="0.35">
      <c r="A271" s="10" t="s">
        <v>232</v>
      </c>
      <c r="B271" s="10" t="s">
        <v>1609</v>
      </c>
      <c r="C271" s="10" t="s">
        <v>2048</v>
      </c>
      <c r="D271" s="10" t="s">
        <v>2029</v>
      </c>
      <c r="E271" s="10" t="s">
        <v>2030</v>
      </c>
      <c r="F271" s="10" t="s">
        <v>187</v>
      </c>
    </row>
    <row r="272" spans="1:6" x14ac:dyDescent="0.35">
      <c r="A272" s="10" t="s">
        <v>232</v>
      </c>
      <c r="B272" s="10" t="s">
        <v>1609</v>
      </c>
      <c r="C272" s="10" t="s">
        <v>2048</v>
      </c>
      <c r="D272" s="10" t="s">
        <v>2053</v>
      </c>
      <c r="E272" s="10" t="s">
        <v>2054</v>
      </c>
      <c r="F272" s="10" t="s">
        <v>187</v>
      </c>
    </row>
    <row r="273" spans="1:6" x14ac:dyDescent="0.35">
      <c r="A273" s="10" t="s">
        <v>232</v>
      </c>
      <c r="B273" s="10" t="s">
        <v>1609</v>
      </c>
      <c r="C273" s="10" t="s">
        <v>2048</v>
      </c>
      <c r="D273" s="10" t="s">
        <v>2055</v>
      </c>
      <c r="E273" s="10" t="s">
        <v>2056</v>
      </c>
      <c r="F273" s="10" t="s">
        <v>187</v>
      </c>
    </row>
    <row r="274" spans="1:6" x14ac:dyDescent="0.35">
      <c r="A274" s="10" t="s">
        <v>232</v>
      </c>
      <c r="B274" s="10" t="s">
        <v>1650</v>
      </c>
      <c r="C274" s="10" t="s">
        <v>2057</v>
      </c>
      <c r="D274" s="10" t="s">
        <v>1984</v>
      </c>
      <c r="E274" s="10" t="s">
        <v>2058</v>
      </c>
      <c r="F274" s="10" t="s">
        <v>187</v>
      </c>
    </row>
    <row r="275" spans="1:6" x14ac:dyDescent="0.35">
      <c r="A275" s="10" t="s">
        <v>232</v>
      </c>
      <c r="B275" s="10" t="s">
        <v>1650</v>
      </c>
      <c r="C275" s="10" t="s">
        <v>2059</v>
      </c>
      <c r="D275" s="10" t="s">
        <v>1987</v>
      </c>
      <c r="E275" s="10" t="s">
        <v>2060</v>
      </c>
      <c r="F275" s="10" t="s">
        <v>187</v>
      </c>
    </row>
    <row r="276" spans="1:6" x14ac:dyDescent="0.35">
      <c r="A276" s="10" t="s">
        <v>232</v>
      </c>
      <c r="B276" s="10" t="s">
        <v>1650</v>
      </c>
      <c r="C276" s="10" t="s">
        <v>2061</v>
      </c>
      <c r="D276" s="10" t="s">
        <v>2062</v>
      </c>
      <c r="E276" s="10" t="s">
        <v>2063</v>
      </c>
      <c r="F276" s="10" t="s">
        <v>187</v>
      </c>
    </row>
    <row r="277" spans="1:6" x14ac:dyDescent="0.35">
      <c r="A277" s="10" t="s">
        <v>232</v>
      </c>
      <c r="B277" s="10" t="s">
        <v>1650</v>
      </c>
      <c r="C277" s="10" t="s">
        <v>2061</v>
      </c>
      <c r="D277" s="10" t="s">
        <v>2064</v>
      </c>
      <c r="E277" s="10" t="s">
        <v>2065</v>
      </c>
      <c r="F277" s="10" t="s">
        <v>187</v>
      </c>
    </row>
    <row r="278" spans="1:6" x14ac:dyDescent="0.35">
      <c r="A278" s="10" t="s">
        <v>232</v>
      </c>
      <c r="B278" s="10" t="s">
        <v>1650</v>
      </c>
      <c r="C278" s="10" t="s">
        <v>2061</v>
      </c>
      <c r="D278" s="10" t="s">
        <v>2066</v>
      </c>
      <c r="E278" s="10" t="s">
        <v>2067</v>
      </c>
      <c r="F278" s="10" t="s">
        <v>187</v>
      </c>
    </row>
    <row r="279" spans="1:6" ht="25" x14ac:dyDescent="0.35">
      <c r="A279" s="10" t="s">
        <v>232</v>
      </c>
      <c r="B279" s="10" t="s">
        <v>1650</v>
      </c>
      <c r="C279" s="10" t="s">
        <v>2061</v>
      </c>
      <c r="D279" s="10" t="s">
        <v>2068</v>
      </c>
      <c r="E279" s="10" t="s">
        <v>2069</v>
      </c>
      <c r="F279" s="10" t="s">
        <v>187</v>
      </c>
    </row>
    <row r="280" spans="1:6" x14ac:dyDescent="0.35">
      <c r="A280" s="10" t="s">
        <v>232</v>
      </c>
      <c r="B280" s="10" t="s">
        <v>1650</v>
      </c>
      <c r="C280" s="10" t="s">
        <v>2061</v>
      </c>
      <c r="D280" s="10" t="s">
        <v>2070</v>
      </c>
      <c r="E280" s="10" t="s">
        <v>2071</v>
      </c>
      <c r="F280" s="10" t="s">
        <v>187</v>
      </c>
    </row>
    <row r="281" spans="1:6" x14ac:dyDescent="0.35">
      <c r="A281" s="10" t="s">
        <v>232</v>
      </c>
      <c r="B281" s="10" t="s">
        <v>1650</v>
      </c>
      <c r="C281" s="10" t="s">
        <v>2072</v>
      </c>
      <c r="D281" s="10" t="s">
        <v>1990</v>
      </c>
      <c r="E281" s="10" t="s">
        <v>2073</v>
      </c>
      <c r="F281" s="10" t="s">
        <v>187</v>
      </c>
    </row>
    <row r="282" spans="1:6" x14ac:dyDescent="0.35">
      <c r="A282" s="10" t="s">
        <v>232</v>
      </c>
      <c r="B282" s="10" t="s">
        <v>1650</v>
      </c>
      <c r="C282" s="10" t="s">
        <v>2072</v>
      </c>
      <c r="D282" s="10" t="s">
        <v>2002</v>
      </c>
      <c r="E282" s="10" t="s">
        <v>2074</v>
      </c>
      <c r="F282" s="10" t="s">
        <v>187</v>
      </c>
    </row>
    <row r="283" spans="1:6" x14ac:dyDescent="0.35">
      <c r="A283" s="10" t="s">
        <v>232</v>
      </c>
      <c r="B283" s="10" t="s">
        <v>1650</v>
      </c>
      <c r="C283" s="10" t="s">
        <v>2072</v>
      </c>
      <c r="D283" s="10" t="s">
        <v>1992</v>
      </c>
      <c r="E283" s="10" t="s">
        <v>2075</v>
      </c>
      <c r="F283" s="10" t="s">
        <v>187</v>
      </c>
    </row>
    <row r="284" spans="1:6" x14ac:dyDescent="0.35">
      <c r="A284" s="10" t="s">
        <v>232</v>
      </c>
      <c r="B284" s="10" t="s">
        <v>1650</v>
      </c>
      <c r="C284" s="10" t="s">
        <v>2072</v>
      </c>
      <c r="D284" s="10" t="s">
        <v>1994</v>
      </c>
      <c r="E284" s="10" t="s">
        <v>2076</v>
      </c>
      <c r="F284" s="10" t="s">
        <v>187</v>
      </c>
    </row>
    <row r="285" spans="1:6" x14ac:dyDescent="0.35">
      <c r="A285" s="10" t="s">
        <v>232</v>
      </c>
      <c r="B285" s="10" t="s">
        <v>1650</v>
      </c>
      <c r="C285" s="10" t="s">
        <v>2072</v>
      </c>
      <c r="D285" s="10" t="s">
        <v>2077</v>
      </c>
      <c r="E285" s="10" t="s">
        <v>2078</v>
      </c>
      <c r="F285" s="10" t="s">
        <v>187</v>
      </c>
    </row>
    <row r="286" spans="1:6" x14ac:dyDescent="0.35">
      <c r="A286" s="10" t="s">
        <v>232</v>
      </c>
      <c r="B286" s="10" t="s">
        <v>1650</v>
      </c>
      <c r="C286" s="10" t="s">
        <v>2072</v>
      </c>
      <c r="D286" s="10" t="s">
        <v>1996</v>
      </c>
      <c r="E286" s="10" t="s">
        <v>2079</v>
      </c>
      <c r="F286" s="10" t="s">
        <v>187</v>
      </c>
    </row>
    <row r="287" spans="1:6" x14ac:dyDescent="0.35">
      <c r="A287" s="10" t="s">
        <v>232</v>
      </c>
      <c r="B287" s="10" t="s">
        <v>1650</v>
      </c>
      <c r="C287" s="10" t="s">
        <v>2072</v>
      </c>
      <c r="D287" s="10" t="s">
        <v>1998</v>
      </c>
      <c r="E287" s="10" t="s">
        <v>2080</v>
      </c>
      <c r="F287" s="10" t="s">
        <v>187</v>
      </c>
    </row>
    <row r="288" spans="1:6" x14ac:dyDescent="0.35">
      <c r="A288" s="10" t="s">
        <v>232</v>
      </c>
      <c r="B288" s="10" t="s">
        <v>1650</v>
      </c>
      <c r="C288" s="10" t="s">
        <v>2072</v>
      </c>
      <c r="D288" s="10" t="s">
        <v>1648</v>
      </c>
      <c r="E288" s="10" t="s">
        <v>2081</v>
      </c>
      <c r="F288" s="10" t="s">
        <v>187</v>
      </c>
    </row>
    <row r="289" spans="1:6" x14ac:dyDescent="0.35">
      <c r="A289" s="10" t="s">
        <v>232</v>
      </c>
      <c r="B289" s="10" t="s">
        <v>1650</v>
      </c>
      <c r="C289" s="10" t="s">
        <v>2072</v>
      </c>
      <c r="D289" s="10" t="s">
        <v>2000</v>
      </c>
      <c r="E289" s="10" t="s">
        <v>2082</v>
      </c>
      <c r="F289" s="10" t="s">
        <v>187</v>
      </c>
    </row>
    <row r="290" spans="1:6" x14ac:dyDescent="0.35">
      <c r="A290" s="10" t="s">
        <v>232</v>
      </c>
      <c r="B290" s="10" t="s">
        <v>1650</v>
      </c>
      <c r="C290" s="10" t="s">
        <v>2083</v>
      </c>
      <c r="D290" s="10" t="s">
        <v>2009</v>
      </c>
      <c r="E290" s="10" t="s">
        <v>2084</v>
      </c>
      <c r="F290" s="10" t="s">
        <v>187</v>
      </c>
    </row>
    <row r="291" spans="1:6" ht="25" x14ac:dyDescent="0.35">
      <c r="A291" s="10" t="s">
        <v>232</v>
      </c>
      <c r="B291" s="10" t="s">
        <v>1650</v>
      </c>
      <c r="C291" s="10" t="s">
        <v>2083</v>
      </c>
      <c r="D291" s="10" t="s">
        <v>2007</v>
      </c>
      <c r="E291" s="10" t="s">
        <v>2085</v>
      </c>
      <c r="F291" s="10" t="s">
        <v>187</v>
      </c>
    </row>
    <row r="292" spans="1:6" x14ac:dyDescent="0.35">
      <c r="A292" s="10" t="s">
        <v>232</v>
      </c>
      <c r="B292" s="10" t="s">
        <v>1650</v>
      </c>
      <c r="C292" s="10" t="s">
        <v>2083</v>
      </c>
      <c r="D292" s="10" t="s">
        <v>2012</v>
      </c>
      <c r="E292" s="10" t="s">
        <v>2086</v>
      </c>
      <c r="F292" s="10" t="s">
        <v>187</v>
      </c>
    </row>
    <row r="293" spans="1:6" x14ac:dyDescent="0.35">
      <c r="A293" s="10" t="s">
        <v>232</v>
      </c>
      <c r="B293" s="10" t="s">
        <v>1650</v>
      </c>
      <c r="C293" s="10" t="s">
        <v>2083</v>
      </c>
      <c r="D293" s="10" t="s">
        <v>1866</v>
      </c>
      <c r="E293" s="10" t="s">
        <v>1867</v>
      </c>
      <c r="F293" s="10" t="s">
        <v>187</v>
      </c>
    </row>
    <row r="294" spans="1:6" ht="25" x14ac:dyDescent="0.35">
      <c r="A294" s="10" t="s">
        <v>232</v>
      </c>
      <c r="B294" s="10" t="s">
        <v>1650</v>
      </c>
      <c r="C294" s="10" t="s">
        <v>2087</v>
      </c>
      <c r="D294" s="10" t="s">
        <v>2088</v>
      </c>
      <c r="E294" s="10" t="s">
        <v>2089</v>
      </c>
      <c r="F294" s="10" t="s">
        <v>2090</v>
      </c>
    </row>
    <row r="295" spans="1:6" x14ac:dyDescent="0.35">
      <c r="A295" s="10" t="s">
        <v>232</v>
      </c>
      <c r="B295" s="10" t="s">
        <v>1650</v>
      </c>
      <c r="C295" s="10" t="s">
        <v>2087</v>
      </c>
      <c r="D295" s="10" t="s">
        <v>2091</v>
      </c>
      <c r="E295" s="10" t="s">
        <v>2092</v>
      </c>
      <c r="F295" s="10" t="s">
        <v>187</v>
      </c>
    </row>
    <row r="296" spans="1:6" x14ac:dyDescent="0.35">
      <c r="A296" s="10" t="s">
        <v>232</v>
      </c>
      <c r="B296" s="10" t="s">
        <v>1650</v>
      </c>
      <c r="C296" s="10" t="s">
        <v>2087</v>
      </c>
      <c r="D296" s="10" t="s">
        <v>2093</v>
      </c>
      <c r="E296" s="10" t="s">
        <v>2094</v>
      </c>
      <c r="F296" s="10" t="s">
        <v>187</v>
      </c>
    </row>
    <row r="297" spans="1:6" x14ac:dyDescent="0.35">
      <c r="A297" s="10" t="s">
        <v>232</v>
      </c>
      <c r="B297" s="10" t="s">
        <v>1650</v>
      </c>
      <c r="C297" s="10" t="s">
        <v>2087</v>
      </c>
      <c r="D297" s="10" t="s">
        <v>2095</v>
      </c>
      <c r="E297" s="10" t="s">
        <v>2096</v>
      </c>
      <c r="F297" s="10" t="s">
        <v>187</v>
      </c>
    </row>
    <row r="298" spans="1:6" x14ac:dyDescent="0.35">
      <c r="A298" s="10" t="s">
        <v>232</v>
      </c>
      <c r="B298" s="10" t="s">
        <v>1650</v>
      </c>
      <c r="C298" s="10" t="s">
        <v>1767</v>
      </c>
      <c r="D298" s="10" t="s">
        <v>1669</v>
      </c>
      <c r="E298" s="10" t="s">
        <v>1768</v>
      </c>
      <c r="F298" s="10" t="s">
        <v>187</v>
      </c>
    </row>
    <row r="299" spans="1:6" x14ac:dyDescent="0.35">
      <c r="A299" s="10" t="s">
        <v>232</v>
      </c>
      <c r="B299" s="10" t="s">
        <v>1650</v>
      </c>
      <c r="C299" s="10" t="s">
        <v>1767</v>
      </c>
      <c r="D299" s="10" t="s">
        <v>2097</v>
      </c>
      <c r="E299" s="10" t="s">
        <v>2098</v>
      </c>
      <c r="F299" s="10" t="s">
        <v>187</v>
      </c>
    </row>
    <row r="300" spans="1:6" x14ac:dyDescent="0.35">
      <c r="A300" s="10" t="s">
        <v>232</v>
      </c>
      <c r="B300" s="10" t="s">
        <v>1650</v>
      </c>
      <c r="C300" s="10" t="s">
        <v>1767</v>
      </c>
      <c r="D300" s="10" t="s">
        <v>2099</v>
      </c>
      <c r="E300" s="10" t="s">
        <v>2100</v>
      </c>
      <c r="F300" s="10" t="s">
        <v>187</v>
      </c>
    </row>
    <row r="301" spans="1:6" x14ac:dyDescent="0.35">
      <c r="A301" s="10" t="s">
        <v>232</v>
      </c>
      <c r="B301" s="10" t="s">
        <v>1650</v>
      </c>
      <c r="C301" s="10" t="s">
        <v>1767</v>
      </c>
      <c r="D301" s="10" t="s">
        <v>2101</v>
      </c>
      <c r="E301" s="10" t="s">
        <v>2102</v>
      </c>
      <c r="F301" s="10" t="s">
        <v>187</v>
      </c>
    </row>
    <row r="302" spans="1:6" x14ac:dyDescent="0.35">
      <c r="A302" s="10" t="s">
        <v>232</v>
      </c>
      <c r="B302" s="10" t="s">
        <v>1667</v>
      </c>
      <c r="C302" s="10" t="s">
        <v>1668</v>
      </c>
      <c r="D302" s="10" t="s">
        <v>1789</v>
      </c>
      <c r="E302" s="10" t="s">
        <v>1790</v>
      </c>
      <c r="F302" s="10" t="s">
        <v>187</v>
      </c>
    </row>
    <row r="303" spans="1:6" x14ac:dyDescent="0.35">
      <c r="A303" s="10" t="s">
        <v>232</v>
      </c>
      <c r="B303" s="10" t="s">
        <v>1667</v>
      </c>
      <c r="C303" s="10" t="s">
        <v>1668</v>
      </c>
      <c r="D303" s="10" t="s">
        <v>1791</v>
      </c>
      <c r="E303" s="10" t="s">
        <v>1792</v>
      </c>
      <c r="F303" s="10" t="s">
        <v>187</v>
      </c>
    </row>
    <row r="304" spans="1:6" x14ac:dyDescent="0.35">
      <c r="A304" s="10" t="s">
        <v>232</v>
      </c>
      <c r="B304" s="10" t="s">
        <v>1650</v>
      </c>
      <c r="C304" s="10" t="s">
        <v>2103</v>
      </c>
      <c r="D304" s="10" t="s">
        <v>1990</v>
      </c>
      <c r="E304" s="10" t="s">
        <v>2104</v>
      </c>
      <c r="F304" s="10" t="s">
        <v>187</v>
      </c>
    </row>
    <row r="305" spans="1:6" x14ac:dyDescent="0.35">
      <c r="A305" s="10" t="s">
        <v>232</v>
      </c>
      <c r="B305" s="10" t="s">
        <v>1650</v>
      </c>
      <c r="C305" s="10" t="s">
        <v>2103</v>
      </c>
      <c r="D305" s="10" t="s">
        <v>1992</v>
      </c>
      <c r="E305" s="10" t="s">
        <v>2105</v>
      </c>
      <c r="F305" s="10" t="s">
        <v>187</v>
      </c>
    </row>
    <row r="306" spans="1:6" x14ac:dyDescent="0.35">
      <c r="A306" s="10" t="s">
        <v>232</v>
      </c>
      <c r="B306" s="10" t="s">
        <v>1650</v>
      </c>
      <c r="C306" s="10" t="s">
        <v>2103</v>
      </c>
      <c r="D306" s="10" t="s">
        <v>2020</v>
      </c>
      <c r="E306" s="10" t="s">
        <v>2106</v>
      </c>
      <c r="F306" s="10" t="s">
        <v>187</v>
      </c>
    </row>
    <row r="307" spans="1:6" x14ac:dyDescent="0.35">
      <c r="A307" s="10" t="s">
        <v>232</v>
      </c>
      <c r="B307" s="10" t="s">
        <v>1650</v>
      </c>
      <c r="C307" s="10" t="s">
        <v>2103</v>
      </c>
      <c r="D307" s="10" t="s">
        <v>2022</v>
      </c>
      <c r="E307" s="10" t="s">
        <v>2107</v>
      </c>
      <c r="F307" s="10" t="s">
        <v>187</v>
      </c>
    </row>
    <row r="308" spans="1:6" x14ac:dyDescent="0.35">
      <c r="A308" s="10" t="s">
        <v>232</v>
      </c>
      <c r="B308" s="10" t="s">
        <v>1650</v>
      </c>
      <c r="C308" s="10" t="s">
        <v>2103</v>
      </c>
      <c r="D308" s="10" t="s">
        <v>1996</v>
      </c>
      <c r="E308" s="10" t="s">
        <v>2108</v>
      </c>
      <c r="F308" s="10" t="s">
        <v>187</v>
      </c>
    </row>
    <row r="309" spans="1:6" x14ac:dyDescent="0.35">
      <c r="A309" s="10" t="s">
        <v>232</v>
      </c>
      <c r="B309" s="10" t="s">
        <v>1650</v>
      </c>
      <c r="C309" s="10" t="s">
        <v>2109</v>
      </c>
      <c r="D309" s="10" t="s">
        <v>2110</v>
      </c>
      <c r="E309" s="10" t="s">
        <v>2111</v>
      </c>
      <c r="F309" s="10" t="s">
        <v>187</v>
      </c>
    </row>
    <row r="310" spans="1:6" x14ac:dyDescent="0.35">
      <c r="A310" s="10" t="s">
        <v>232</v>
      </c>
      <c r="B310" s="10" t="s">
        <v>1650</v>
      </c>
      <c r="C310" s="10" t="s">
        <v>2109</v>
      </c>
      <c r="D310" s="10" t="s">
        <v>2112</v>
      </c>
      <c r="E310" s="10" t="s">
        <v>2113</v>
      </c>
      <c r="F310" s="10" t="s">
        <v>187</v>
      </c>
    </row>
    <row r="311" spans="1:6" x14ac:dyDescent="0.35">
      <c r="A311" s="10" t="s">
        <v>232</v>
      </c>
      <c r="B311" s="10" t="s">
        <v>1650</v>
      </c>
      <c r="C311" s="10" t="s">
        <v>2109</v>
      </c>
      <c r="D311" s="10" t="s">
        <v>2114</v>
      </c>
      <c r="E311" s="10" t="s">
        <v>2115</v>
      </c>
      <c r="F311" s="10" t="s">
        <v>187</v>
      </c>
    </row>
    <row r="312" spans="1:6" x14ac:dyDescent="0.35">
      <c r="A312" s="10" t="s">
        <v>232</v>
      </c>
      <c r="B312" s="10" t="s">
        <v>1650</v>
      </c>
      <c r="C312" s="10" t="s">
        <v>2109</v>
      </c>
      <c r="D312" s="10" t="s">
        <v>2116</v>
      </c>
      <c r="E312" s="10" t="s">
        <v>2117</v>
      </c>
      <c r="F312" s="10" t="s">
        <v>187</v>
      </c>
    </row>
    <row r="313" spans="1:6" x14ac:dyDescent="0.35">
      <c r="A313" s="10" t="s">
        <v>232</v>
      </c>
      <c r="B313" s="10" t="s">
        <v>1650</v>
      </c>
      <c r="C313" s="10" t="s">
        <v>2118</v>
      </c>
      <c r="D313" s="10" t="s">
        <v>1990</v>
      </c>
      <c r="E313" s="10" t="s">
        <v>2119</v>
      </c>
      <c r="F313" s="10" t="s">
        <v>187</v>
      </c>
    </row>
    <row r="314" spans="1:6" x14ac:dyDescent="0.35">
      <c r="A314" s="10" t="s">
        <v>232</v>
      </c>
      <c r="B314" s="10" t="s">
        <v>1650</v>
      </c>
      <c r="C314" s="10" t="s">
        <v>2118</v>
      </c>
      <c r="D314" s="10" t="s">
        <v>2002</v>
      </c>
      <c r="E314" s="10" t="s">
        <v>2120</v>
      </c>
      <c r="F314" s="10" t="s">
        <v>187</v>
      </c>
    </row>
    <row r="315" spans="1:6" x14ac:dyDescent="0.35">
      <c r="A315" s="10" t="s">
        <v>232</v>
      </c>
      <c r="B315" s="10" t="s">
        <v>1650</v>
      </c>
      <c r="C315" s="10" t="s">
        <v>2118</v>
      </c>
      <c r="D315" s="10" t="s">
        <v>1992</v>
      </c>
      <c r="E315" s="10" t="s">
        <v>2121</v>
      </c>
      <c r="F315" s="10" t="s">
        <v>187</v>
      </c>
    </row>
    <row r="316" spans="1:6" x14ac:dyDescent="0.35">
      <c r="A316" s="10" t="s">
        <v>232</v>
      </c>
      <c r="B316" s="10" t="s">
        <v>1650</v>
      </c>
      <c r="C316" s="10" t="s">
        <v>2118</v>
      </c>
      <c r="D316" s="10" t="s">
        <v>1996</v>
      </c>
      <c r="E316" s="10" t="s">
        <v>2122</v>
      </c>
      <c r="F316" s="10" t="s">
        <v>187</v>
      </c>
    </row>
    <row r="317" spans="1:6" x14ac:dyDescent="0.35">
      <c r="A317" s="10" t="s">
        <v>232</v>
      </c>
      <c r="B317" s="10" t="s">
        <v>1650</v>
      </c>
      <c r="C317" s="10" t="s">
        <v>2118</v>
      </c>
      <c r="D317" s="10" t="s">
        <v>1998</v>
      </c>
      <c r="E317" s="10" t="s">
        <v>2123</v>
      </c>
      <c r="F317" s="10" t="s">
        <v>187</v>
      </c>
    </row>
    <row r="318" spans="1:6" x14ac:dyDescent="0.35">
      <c r="A318" s="10" t="s">
        <v>232</v>
      </c>
      <c r="B318" s="10" t="s">
        <v>1650</v>
      </c>
      <c r="C318" s="10" t="s">
        <v>2118</v>
      </c>
      <c r="D318" s="10" t="s">
        <v>1648</v>
      </c>
      <c r="E318" s="10" t="s">
        <v>2124</v>
      </c>
      <c r="F318" s="10" t="s">
        <v>187</v>
      </c>
    </row>
    <row r="319" spans="1:6" x14ac:dyDescent="0.35">
      <c r="A319" s="10" t="s">
        <v>232</v>
      </c>
      <c r="B319" s="10" t="s">
        <v>1650</v>
      </c>
      <c r="C319" s="10" t="s">
        <v>2118</v>
      </c>
      <c r="D319" s="10" t="s">
        <v>2000</v>
      </c>
      <c r="E319" s="10" t="s">
        <v>2125</v>
      </c>
      <c r="F319" s="10" t="s">
        <v>187</v>
      </c>
    </row>
    <row r="320" spans="1:6" x14ac:dyDescent="0.35">
      <c r="A320" s="10" t="s">
        <v>232</v>
      </c>
      <c r="B320" s="10" t="s">
        <v>1650</v>
      </c>
      <c r="C320" s="10" t="s">
        <v>2126</v>
      </c>
      <c r="D320" s="10" t="s">
        <v>2035</v>
      </c>
      <c r="E320" s="10" t="s">
        <v>2127</v>
      </c>
      <c r="F320" s="10" t="s">
        <v>187</v>
      </c>
    </row>
    <row r="321" spans="1:6" x14ac:dyDescent="0.35">
      <c r="A321" s="10" t="s">
        <v>232</v>
      </c>
      <c r="B321" s="10" t="s">
        <v>1650</v>
      </c>
      <c r="C321" s="10" t="s">
        <v>2128</v>
      </c>
      <c r="D321" s="10" t="s">
        <v>1868</v>
      </c>
      <c r="E321" s="10" t="s">
        <v>2129</v>
      </c>
      <c r="F321" s="10" t="s">
        <v>187</v>
      </c>
    </row>
    <row r="322" spans="1:6" x14ac:dyDescent="0.35">
      <c r="A322" s="10" t="s">
        <v>232</v>
      </c>
      <c r="B322" s="10" t="s">
        <v>1650</v>
      </c>
      <c r="C322" s="10" t="s">
        <v>2130</v>
      </c>
      <c r="D322" s="10" t="s">
        <v>1990</v>
      </c>
      <c r="E322" s="10" t="s">
        <v>2131</v>
      </c>
      <c r="F322" s="10" t="s">
        <v>187</v>
      </c>
    </row>
    <row r="323" spans="1:6" x14ac:dyDescent="0.35">
      <c r="A323" s="10" t="s">
        <v>232</v>
      </c>
      <c r="B323" s="10" t="s">
        <v>1650</v>
      </c>
      <c r="C323" s="10" t="s">
        <v>2130</v>
      </c>
      <c r="D323" s="10" t="s">
        <v>2002</v>
      </c>
      <c r="E323" s="10" t="s">
        <v>2132</v>
      </c>
      <c r="F323" s="10" t="s">
        <v>187</v>
      </c>
    </row>
    <row r="324" spans="1:6" x14ac:dyDescent="0.35">
      <c r="A324" s="10" t="s">
        <v>232</v>
      </c>
      <c r="B324" s="10" t="s">
        <v>1650</v>
      </c>
      <c r="C324" s="10" t="s">
        <v>2130</v>
      </c>
      <c r="D324" s="10" t="s">
        <v>1992</v>
      </c>
      <c r="E324" s="10" t="s">
        <v>2133</v>
      </c>
      <c r="F324" s="10" t="s">
        <v>187</v>
      </c>
    </row>
    <row r="325" spans="1:6" x14ac:dyDescent="0.35">
      <c r="A325" s="10" t="s">
        <v>232</v>
      </c>
      <c r="B325" s="10" t="s">
        <v>1650</v>
      </c>
      <c r="C325" s="10" t="s">
        <v>2130</v>
      </c>
      <c r="D325" s="10" t="s">
        <v>2038</v>
      </c>
      <c r="E325" s="10" t="s">
        <v>2134</v>
      </c>
      <c r="F325" s="10" t="s">
        <v>187</v>
      </c>
    </row>
    <row r="326" spans="1:6" x14ac:dyDescent="0.35">
      <c r="A326" s="10" t="s">
        <v>232</v>
      </c>
      <c r="B326" s="10" t="s">
        <v>1650</v>
      </c>
      <c r="C326" s="10" t="s">
        <v>2130</v>
      </c>
      <c r="D326" s="10" t="s">
        <v>2135</v>
      </c>
      <c r="E326" s="10" t="s">
        <v>2136</v>
      </c>
      <c r="F326" s="10" t="s">
        <v>187</v>
      </c>
    </row>
    <row r="327" spans="1:6" x14ac:dyDescent="0.35">
      <c r="A327" s="10" t="s">
        <v>232</v>
      </c>
      <c r="B327" s="10" t="s">
        <v>1650</v>
      </c>
      <c r="C327" s="10" t="s">
        <v>2130</v>
      </c>
      <c r="D327" s="10" t="s">
        <v>2040</v>
      </c>
      <c r="E327" s="10" t="s">
        <v>2137</v>
      </c>
      <c r="F327" s="10" t="s">
        <v>187</v>
      </c>
    </row>
    <row r="328" spans="1:6" x14ac:dyDescent="0.35">
      <c r="A328" s="10" t="s">
        <v>232</v>
      </c>
      <c r="B328" s="10" t="s">
        <v>1650</v>
      </c>
      <c r="C328" s="10" t="s">
        <v>2130</v>
      </c>
      <c r="D328" s="10" t="s">
        <v>1996</v>
      </c>
      <c r="E328" s="10" t="s">
        <v>2138</v>
      </c>
      <c r="F328" s="10" t="s">
        <v>187</v>
      </c>
    </row>
    <row r="329" spans="1:6" x14ac:dyDescent="0.35">
      <c r="A329" s="10" t="s">
        <v>232</v>
      </c>
      <c r="B329" s="10" t="s">
        <v>1650</v>
      </c>
      <c r="C329" s="10" t="s">
        <v>2130</v>
      </c>
      <c r="D329" s="10" t="s">
        <v>1998</v>
      </c>
      <c r="E329" s="10" t="s">
        <v>2139</v>
      </c>
      <c r="F329" s="10" t="s">
        <v>187</v>
      </c>
    </row>
    <row r="330" spans="1:6" x14ac:dyDescent="0.35">
      <c r="A330" s="10" t="s">
        <v>232</v>
      </c>
      <c r="B330" s="10" t="s">
        <v>1650</v>
      </c>
      <c r="C330" s="10" t="s">
        <v>2130</v>
      </c>
      <c r="D330" s="10" t="s">
        <v>1648</v>
      </c>
      <c r="E330" s="10" t="s">
        <v>2140</v>
      </c>
      <c r="F330" s="10" t="s">
        <v>187</v>
      </c>
    </row>
    <row r="331" spans="1:6" x14ac:dyDescent="0.35">
      <c r="A331" s="10" t="s">
        <v>232</v>
      </c>
      <c r="B331" s="10" t="s">
        <v>1650</v>
      </c>
      <c r="C331" s="10" t="s">
        <v>2130</v>
      </c>
      <c r="D331" s="10" t="s">
        <v>2000</v>
      </c>
      <c r="E331" s="10" t="s">
        <v>2141</v>
      </c>
      <c r="F331" s="10" t="s">
        <v>187</v>
      </c>
    </row>
    <row r="332" spans="1:6" x14ac:dyDescent="0.35">
      <c r="A332" s="10" t="s">
        <v>232</v>
      </c>
      <c r="B332" s="10" t="s">
        <v>1650</v>
      </c>
      <c r="C332" s="10" t="s">
        <v>2142</v>
      </c>
      <c r="D332" s="10" t="s">
        <v>1990</v>
      </c>
      <c r="E332" s="10" t="s">
        <v>2143</v>
      </c>
      <c r="F332" s="10" t="s">
        <v>187</v>
      </c>
    </row>
    <row r="333" spans="1:6" x14ac:dyDescent="0.35">
      <c r="A333" s="10" t="s">
        <v>232</v>
      </c>
      <c r="B333" s="10" t="s">
        <v>1650</v>
      </c>
      <c r="C333" s="10" t="s">
        <v>2142</v>
      </c>
      <c r="D333" s="10" t="s">
        <v>1992</v>
      </c>
      <c r="E333" s="10" t="s">
        <v>2144</v>
      </c>
      <c r="F333" s="10" t="s">
        <v>187</v>
      </c>
    </row>
    <row r="334" spans="1:6" x14ac:dyDescent="0.35">
      <c r="A334" s="10" t="s">
        <v>232</v>
      </c>
      <c r="B334" s="10" t="s">
        <v>1650</v>
      </c>
      <c r="C334" s="10" t="s">
        <v>2142</v>
      </c>
      <c r="D334" s="10" t="s">
        <v>2044</v>
      </c>
      <c r="E334" s="10" t="s">
        <v>2145</v>
      </c>
      <c r="F334" s="10" t="s">
        <v>187</v>
      </c>
    </row>
    <row r="335" spans="1:6" x14ac:dyDescent="0.35">
      <c r="A335" s="10" t="s">
        <v>232</v>
      </c>
      <c r="B335" s="10" t="s">
        <v>1650</v>
      </c>
      <c r="C335" s="10" t="s">
        <v>2142</v>
      </c>
      <c r="D335" s="10" t="s">
        <v>2046</v>
      </c>
      <c r="E335" s="10" t="s">
        <v>2146</v>
      </c>
      <c r="F335" s="10" t="s">
        <v>187</v>
      </c>
    </row>
    <row r="336" spans="1:6" ht="25" x14ac:dyDescent="0.35">
      <c r="A336" s="10" t="s">
        <v>232</v>
      </c>
      <c r="B336" s="10" t="s">
        <v>1650</v>
      </c>
      <c r="C336" s="10" t="s">
        <v>2142</v>
      </c>
      <c r="D336" s="10" t="s">
        <v>2147</v>
      </c>
      <c r="E336" s="10" t="s">
        <v>2148</v>
      </c>
      <c r="F336" s="10" t="s">
        <v>187</v>
      </c>
    </row>
    <row r="337" spans="1:6" x14ac:dyDescent="0.35">
      <c r="A337" s="10" t="s">
        <v>232</v>
      </c>
      <c r="B337" s="10" t="s">
        <v>1650</v>
      </c>
      <c r="C337" s="10" t="s">
        <v>2149</v>
      </c>
      <c r="D337" s="10" t="s">
        <v>1990</v>
      </c>
      <c r="E337" s="10" t="s">
        <v>2150</v>
      </c>
      <c r="F337" s="10" t="s">
        <v>187</v>
      </c>
    </row>
    <row r="338" spans="1:6" x14ac:dyDescent="0.35">
      <c r="A338" s="10" t="s">
        <v>232</v>
      </c>
      <c r="B338" s="10" t="s">
        <v>1650</v>
      </c>
      <c r="C338" s="10" t="s">
        <v>2149</v>
      </c>
      <c r="D338" s="10" t="s">
        <v>2049</v>
      </c>
      <c r="E338" s="10" t="s">
        <v>2151</v>
      </c>
      <c r="F338" s="10" t="s">
        <v>187</v>
      </c>
    </row>
    <row r="339" spans="1:6" x14ac:dyDescent="0.35">
      <c r="A339" s="10" t="s">
        <v>232</v>
      </c>
      <c r="B339" s="10" t="s">
        <v>1650</v>
      </c>
      <c r="C339" s="10" t="s">
        <v>2149</v>
      </c>
      <c r="D339" s="10" t="s">
        <v>2044</v>
      </c>
      <c r="E339" s="10" t="s">
        <v>2152</v>
      </c>
      <c r="F339" s="10" t="s">
        <v>187</v>
      </c>
    </row>
    <row r="340" spans="1:6" x14ac:dyDescent="0.35">
      <c r="A340" s="10" t="s">
        <v>232</v>
      </c>
      <c r="B340" s="10" t="s">
        <v>1650</v>
      </c>
      <c r="C340" s="10" t="s">
        <v>2149</v>
      </c>
      <c r="D340" s="10" t="s">
        <v>2040</v>
      </c>
      <c r="E340" s="10" t="s">
        <v>2153</v>
      </c>
      <c r="F340" s="10" t="s">
        <v>187</v>
      </c>
    </row>
    <row r="341" spans="1:6" x14ac:dyDescent="0.35">
      <c r="A341" s="10" t="s">
        <v>232</v>
      </c>
      <c r="B341" s="10" t="s">
        <v>1650</v>
      </c>
      <c r="C341" s="10" t="s">
        <v>2149</v>
      </c>
      <c r="D341" s="10" t="s">
        <v>2020</v>
      </c>
      <c r="E341" s="10" t="s">
        <v>2154</v>
      </c>
      <c r="F341" s="10" t="s">
        <v>187</v>
      </c>
    </row>
    <row r="342" spans="1:6" x14ac:dyDescent="0.35">
      <c r="A342" s="10" t="s">
        <v>232</v>
      </c>
      <c r="B342" s="10" t="s">
        <v>1650</v>
      </c>
      <c r="C342" s="10" t="s">
        <v>2149</v>
      </c>
      <c r="D342" s="10" t="s">
        <v>1992</v>
      </c>
      <c r="E342" s="10" t="s">
        <v>2155</v>
      </c>
      <c r="F342" s="10" t="s">
        <v>187</v>
      </c>
    </row>
    <row r="343" spans="1:6" x14ac:dyDescent="0.35">
      <c r="A343" s="10" t="s">
        <v>232</v>
      </c>
      <c r="B343" s="10" t="s">
        <v>1650</v>
      </c>
      <c r="C343" s="10" t="s">
        <v>2149</v>
      </c>
      <c r="D343" s="10" t="s">
        <v>2051</v>
      </c>
      <c r="E343" s="10" t="s">
        <v>2156</v>
      </c>
      <c r="F343" s="10" t="s">
        <v>187</v>
      </c>
    </row>
    <row r="344" spans="1:6" x14ac:dyDescent="0.35">
      <c r="A344" s="10" t="s">
        <v>232</v>
      </c>
      <c r="B344" s="10" t="s">
        <v>1650</v>
      </c>
      <c r="C344" s="10" t="s">
        <v>2149</v>
      </c>
      <c r="D344" s="10" t="s">
        <v>1626</v>
      </c>
      <c r="E344" s="10" t="s">
        <v>2157</v>
      </c>
      <c r="F344" s="10" t="s">
        <v>187</v>
      </c>
    </row>
    <row r="345" spans="1:6" x14ac:dyDescent="0.35">
      <c r="A345" s="10" t="s">
        <v>232</v>
      </c>
      <c r="B345" s="10" t="s">
        <v>1650</v>
      </c>
      <c r="C345" s="10" t="s">
        <v>2149</v>
      </c>
      <c r="D345" s="10" t="s">
        <v>2029</v>
      </c>
      <c r="E345" s="10" t="s">
        <v>2158</v>
      </c>
      <c r="F345" s="10" t="s">
        <v>187</v>
      </c>
    </row>
    <row r="346" spans="1:6" x14ac:dyDescent="0.35">
      <c r="A346" s="10" t="s">
        <v>232</v>
      </c>
      <c r="B346" s="10" t="s">
        <v>1650</v>
      </c>
      <c r="C346" s="10" t="s">
        <v>2149</v>
      </c>
      <c r="D346" s="10" t="s">
        <v>2159</v>
      </c>
      <c r="E346" s="10" t="s">
        <v>2160</v>
      </c>
      <c r="F346" s="10" t="s">
        <v>187</v>
      </c>
    </row>
    <row r="347" spans="1:6" x14ac:dyDescent="0.35">
      <c r="A347" s="10" t="s">
        <v>232</v>
      </c>
      <c r="B347" s="10" t="s">
        <v>1650</v>
      </c>
      <c r="C347" s="10" t="s">
        <v>2149</v>
      </c>
      <c r="D347" s="10" t="s">
        <v>2161</v>
      </c>
      <c r="E347" s="10" t="s">
        <v>2162</v>
      </c>
      <c r="F347" s="10" t="s">
        <v>187</v>
      </c>
    </row>
    <row r="348" spans="1:6" x14ac:dyDescent="0.35">
      <c r="A348" s="10" t="s">
        <v>232</v>
      </c>
      <c r="B348" s="10" t="s">
        <v>1650</v>
      </c>
      <c r="C348" s="10" t="s">
        <v>2163</v>
      </c>
      <c r="D348" s="10" t="s">
        <v>2164</v>
      </c>
      <c r="E348" s="10" t="s">
        <v>2165</v>
      </c>
      <c r="F348" s="10" t="s">
        <v>187</v>
      </c>
    </row>
    <row r="349" spans="1:6" x14ac:dyDescent="0.35">
      <c r="A349" s="10" t="s">
        <v>232</v>
      </c>
      <c r="B349" s="10" t="s">
        <v>1667</v>
      </c>
      <c r="C349" s="10" t="s">
        <v>1848</v>
      </c>
      <c r="D349" s="10" t="s">
        <v>1915</v>
      </c>
      <c r="E349" s="10" t="s">
        <v>2166</v>
      </c>
      <c r="F349" s="10" t="s">
        <v>187</v>
      </c>
    </row>
    <row r="350" spans="1:6" x14ac:dyDescent="0.35">
      <c r="A350" s="10" t="s">
        <v>232</v>
      </c>
      <c r="B350" s="10" t="s">
        <v>1667</v>
      </c>
      <c r="C350" s="10" t="s">
        <v>2167</v>
      </c>
      <c r="D350" s="10" t="s">
        <v>2168</v>
      </c>
      <c r="E350" s="10" t="s">
        <v>2169</v>
      </c>
      <c r="F350" s="10" t="s">
        <v>187</v>
      </c>
    </row>
    <row r="351" spans="1:6" x14ac:dyDescent="0.35">
      <c r="A351" s="10" t="s">
        <v>232</v>
      </c>
      <c r="B351" s="10" t="s">
        <v>1667</v>
      </c>
      <c r="C351" s="10" t="s">
        <v>2170</v>
      </c>
      <c r="D351" s="10" t="s">
        <v>2171</v>
      </c>
      <c r="E351" s="10" t="s">
        <v>2172</v>
      </c>
      <c r="F351" s="10" t="s">
        <v>187</v>
      </c>
    </row>
    <row r="352" spans="1:6" x14ac:dyDescent="0.35">
      <c r="A352" s="10" t="s">
        <v>232</v>
      </c>
      <c r="B352" s="10" t="s">
        <v>1667</v>
      </c>
      <c r="C352" s="10" t="s">
        <v>2170</v>
      </c>
      <c r="D352" s="10" t="s">
        <v>1739</v>
      </c>
      <c r="E352" s="10" t="s">
        <v>2173</v>
      </c>
      <c r="F352" s="10" t="s">
        <v>187</v>
      </c>
    </row>
    <row r="353" spans="1:6" ht="25" x14ac:dyDescent="0.35">
      <c r="A353" s="10" t="s">
        <v>232</v>
      </c>
      <c r="B353" s="10" t="s">
        <v>1667</v>
      </c>
      <c r="C353" s="10" t="s">
        <v>2170</v>
      </c>
      <c r="D353" s="10" t="s">
        <v>2174</v>
      </c>
      <c r="E353" s="10" t="s">
        <v>2175</v>
      </c>
      <c r="F353" s="10" t="s">
        <v>187</v>
      </c>
    </row>
    <row r="354" spans="1:6" x14ac:dyDescent="0.35">
      <c r="A354" s="10" t="s">
        <v>232</v>
      </c>
      <c r="B354" s="10" t="s">
        <v>1667</v>
      </c>
      <c r="C354" s="10" t="s">
        <v>2170</v>
      </c>
      <c r="D354" s="10" t="s">
        <v>1690</v>
      </c>
      <c r="E354" s="10" t="s">
        <v>2176</v>
      </c>
      <c r="F354" s="10" t="s">
        <v>187</v>
      </c>
    </row>
    <row r="355" spans="1:6" ht="25" x14ac:dyDescent="0.35">
      <c r="A355" s="10" t="s">
        <v>232</v>
      </c>
      <c r="B355" s="10" t="s">
        <v>1667</v>
      </c>
      <c r="C355" s="10" t="s">
        <v>2170</v>
      </c>
      <c r="D355" s="10" t="s">
        <v>1832</v>
      </c>
      <c r="E355" s="10" t="s">
        <v>2177</v>
      </c>
      <c r="F355" s="10" t="s">
        <v>187</v>
      </c>
    </row>
    <row r="356" spans="1:6" ht="25" x14ac:dyDescent="0.35">
      <c r="A356" s="10" t="s">
        <v>232</v>
      </c>
      <c r="B356" s="10" t="s">
        <v>1683</v>
      </c>
      <c r="C356" s="10" t="s">
        <v>2178</v>
      </c>
      <c r="D356" s="10" t="s">
        <v>1685</v>
      </c>
      <c r="E356" s="10" t="s">
        <v>2179</v>
      </c>
      <c r="F356" s="10" t="s">
        <v>187</v>
      </c>
    </row>
    <row r="357" spans="1:6" ht="25" x14ac:dyDescent="0.35">
      <c r="A357" s="10" t="s">
        <v>232</v>
      </c>
      <c r="B357" s="10" t="s">
        <v>1683</v>
      </c>
      <c r="C357" s="10" t="s">
        <v>2178</v>
      </c>
      <c r="D357" s="10" t="s">
        <v>2180</v>
      </c>
      <c r="E357" s="10" t="s">
        <v>2181</v>
      </c>
      <c r="F357" s="10" t="s">
        <v>2182</v>
      </c>
    </row>
    <row r="358" spans="1:6" ht="25" x14ac:dyDescent="0.35">
      <c r="A358" s="10" t="s">
        <v>232</v>
      </c>
      <c r="B358" s="10" t="s">
        <v>1683</v>
      </c>
      <c r="C358" s="10" t="s">
        <v>2183</v>
      </c>
      <c r="D358" s="10" t="s">
        <v>1685</v>
      </c>
      <c r="E358" s="10" t="s">
        <v>2179</v>
      </c>
      <c r="F358" s="10" t="s">
        <v>187</v>
      </c>
    </row>
    <row r="359" spans="1:6" x14ac:dyDescent="0.35">
      <c r="A359" s="10" t="s">
        <v>245</v>
      </c>
      <c r="B359" s="10" t="s">
        <v>1609</v>
      </c>
      <c r="C359" s="10" t="s">
        <v>2184</v>
      </c>
      <c r="D359" s="10" t="s">
        <v>2185</v>
      </c>
      <c r="E359" s="10" t="s">
        <v>2186</v>
      </c>
      <c r="F359" s="10" t="s">
        <v>187</v>
      </c>
    </row>
    <row r="360" spans="1:6" x14ac:dyDescent="0.35">
      <c r="A360" s="10" t="s">
        <v>245</v>
      </c>
      <c r="B360" s="10" t="s">
        <v>1609</v>
      </c>
      <c r="C360" s="10" t="s">
        <v>2187</v>
      </c>
      <c r="D360" s="10" t="s">
        <v>1996</v>
      </c>
      <c r="E360" s="10" t="s">
        <v>1997</v>
      </c>
      <c r="F360" s="10" t="s">
        <v>187</v>
      </c>
    </row>
    <row r="361" spans="1:6" x14ac:dyDescent="0.35">
      <c r="A361" s="10" t="s">
        <v>245</v>
      </c>
      <c r="B361" s="10" t="s">
        <v>1609</v>
      </c>
      <c r="C361" s="10" t="s">
        <v>2187</v>
      </c>
      <c r="D361" s="10" t="s">
        <v>2188</v>
      </c>
      <c r="E361" s="10" t="s">
        <v>2189</v>
      </c>
      <c r="F361" s="10" t="s">
        <v>187</v>
      </c>
    </row>
    <row r="362" spans="1:6" x14ac:dyDescent="0.35">
      <c r="A362" s="10" t="s">
        <v>245</v>
      </c>
      <c r="B362" s="10" t="s">
        <v>1609</v>
      </c>
      <c r="C362" s="10" t="s">
        <v>2187</v>
      </c>
      <c r="D362" s="10" t="s">
        <v>2190</v>
      </c>
      <c r="E362" s="10" t="s">
        <v>2191</v>
      </c>
      <c r="F362" s="10" t="s">
        <v>187</v>
      </c>
    </row>
    <row r="363" spans="1:6" x14ac:dyDescent="0.35">
      <c r="A363" s="10" t="s">
        <v>245</v>
      </c>
      <c r="B363" s="10" t="s">
        <v>1609</v>
      </c>
      <c r="C363" s="10" t="s">
        <v>2187</v>
      </c>
      <c r="D363" s="10" t="s">
        <v>2192</v>
      </c>
      <c r="E363" s="10" t="s">
        <v>2193</v>
      </c>
      <c r="F363" s="10" t="s">
        <v>187</v>
      </c>
    </row>
    <row r="364" spans="1:6" x14ac:dyDescent="0.35">
      <c r="A364" s="10" t="s">
        <v>245</v>
      </c>
      <c r="B364" s="10" t="s">
        <v>1609</v>
      </c>
      <c r="C364" s="10" t="s">
        <v>2187</v>
      </c>
      <c r="D364" s="10" t="s">
        <v>2194</v>
      </c>
      <c r="E364" s="10" t="s">
        <v>2195</v>
      </c>
      <c r="F364" s="10" t="s">
        <v>187</v>
      </c>
    </row>
    <row r="365" spans="1:6" x14ac:dyDescent="0.35">
      <c r="A365" s="10" t="s">
        <v>245</v>
      </c>
      <c r="B365" s="10" t="s">
        <v>1609</v>
      </c>
      <c r="C365" s="10" t="s">
        <v>2187</v>
      </c>
      <c r="D365" s="10" t="s">
        <v>2196</v>
      </c>
      <c r="E365" s="10" t="s">
        <v>2197</v>
      </c>
      <c r="F365" s="10" t="s">
        <v>187</v>
      </c>
    </row>
    <row r="366" spans="1:6" x14ac:dyDescent="0.35">
      <c r="A366" s="10" t="s">
        <v>245</v>
      </c>
      <c r="B366" s="10" t="s">
        <v>1609</v>
      </c>
      <c r="C366" s="10" t="s">
        <v>2187</v>
      </c>
      <c r="D366" s="10" t="s">
        <v>2198</v>
      </c>
      <c r="E366" s="10" t="s">
        <v>2199</v>
      </c>
      <c r="F366" s="10" t="s">
        <v>187</v>
      </c>
    </row>
    <row r="367" spans="1:6" x14ac:dyDescent="0.35">
      <c r="A367" s="10" t="s">
        <v>245</v>
      </c>
      <c r="B367" s="10" t="s">
        <v>1609</v>
      </c>
      <c r="C367" s="10" t="s">
        <v>2187</v>
      </c>
      <c r="D367" s="10" t="s">
        <v>2200</v>
      </c>
      <c r="E367" s="10" t="s">
        <v>2201</v>
      </c>
      <c r="F367" s="10" t="s">
        <v>187</v>
      </c>
    </row>
    <row r="368" spans="1:6" x14ac:dyDescent="0.35">
      <c r="A368" s="10" t="s">
        <v>245</v>
      </c>
      <c r="B368" s="10" t="s">
        <v>1609</v>
      </c>
      <c r="C368" s="10" t="s">
        <v>2187</v>
      </c>
      <c r="D368" s="10" t="s">
        <v>2202</v>
      </c>
      <c r="E368" s="10" t="s">
        <v>2203</v>
      </c>
      <c r="F368" s="10" t="s">
        <v>187</v>
      </c>
    </row>
    <row r="369" spans="1:6" x14ac:dyDescent="0.35">
      <c r="A369" s="10" t="s">
        <v>245</v>
      </c>
      <c r="B369" s="10" t="s">
        <v>1609</v>
      </c>
      <c r="C369" s="10" t="s">
        <v>2204</v>
      </c>
      <c r="D369" s="10" t="s">
        <v>1996</v>
      </c>
      <c r="E369" s="10" t="s">
        <v>1997</v>
      </c>
      <c r="F369" s="10" t="s">
        <v>187</v>
      </c>
    </row>
    <row r="370" spans="1:6" x14ac:dyDescent="0.35">
      <c r="A370" s="10" t="s">
        <v>245</v>
      </c>
      <c r="B370" s="10" t="s">
        <v>1609</v>
      </c>
      <c r="C370" s="10" t="s">
        <v>2204</v>
      </c>
      <c r="D370" s="10" t="s">
        <v>2205</v>
      </c>
      <c r="E370" s="10" t="s">
        <v>2206</v>
      </c>
      <c r="F370" s="10" t="s">
        <v>187</v>
      </c>
    </row>
    <row r="371" spans="1:6" x14ac:dyDescent="0.35">
      <c r="A371" s="10" t="s">
        <v>245</v>
      </c>
      <c r="B371" s="10" t="s">
        <v>1609</v>
      </c>
      <c r="C371" s="10" t="s">
        <v>2204</v>
      </c>
      <c r="D371" s="10" t="s">
        <v>2188</v>
      </c>
      <c r="E371" s="10" t="s">
        <v>2189</v>
      </c>
      <c r="F371" s="10" t="s">
        <v>187</v>
      </c>
    </row>
    <row r="372" spans="1:6" x14ac:dyDescent="0.35">
      <c r="A372" s="10" t="s">
        <v>245</v>
      </c>
      <c r="B372" s="10" t="s">
        <v>1609</v>
      </c>
      <c r="C372" s="10" t="s">
        <v>2204</v>
      </c>
      <c r="D372" s="10" t="s">
        <v>2190</v>
      </c>
      <c r="E372" s="10" t="s">
        <v>2191</v>
      </c>
      <c r="F372" s="10" t="s">
        <v>187</v>
      </c>
    </row>
    <row r="373" spans="1:6" x14ac:dyDescent="0.35">
      <c r="A373" s="10" t="s">
        <v>245</v>
      </c>
      <c r="B373" s="10" t="s">
        <v>1609</v>
      </c>
      <c r="C373" s="10" t="s">
        <v>2204</v>
      </c>
      <c r="D373" s="10" t="s">
        <v>2192</v>
      </c>
      <c r="E373" s="10" t="s">
        <v>2193</v>
      </c>
      <c r="F373" s="10" t="s">
        <v>187</v>
      </c>
    </row>
    <row r="374" spans="1:6" x14ac:dyDescent="0.35">
      <c r="A374" s="10" t="s">
        <v>245</v>
      </c>
      <c r="B374" s="10" t="s">
        <v>1609</v>
      </c>
      <c r="C374" s="10" t="s">
        <v>2204</v>
      </c>
      <c r="D374" s="10" t="s">
        <v>2207</v>
      </c>
      <c r="E374" s="10" t="s">
        <v>2208</v>
      </c>
      <c r="F374" s="10" t="s">
        <v>187</v>
      </c>
    </row>
    <row r="375" spans="1:6" x14ac:dyDescent="0.35">
      <c r="A375" s="10" t="s">
        <v>245</v>
      </c>
      <c r="B375" s="10" t="s">
        <v>1609</v>
      </c>
      <c r="C375" s="10" t="s">
        <v>2204</v>
      </c>
      <c r="D375" s="10" t="s">
        <v>2053</v>
      </c>
      <c r="E375" s="10" t="s">
        <v>2054</v>
      </c>
      <c r="F375" s="10" t="s">
        <v>187</v>
      </c>
    </row>
    <row r="376" spans="1:6" x14ac:dyDescent="0.35">
      <c r="A376" s="10" t="s">
        <v>245</v>
      </c>
      <c r="B376" s="10" t="s">
        <v>1609</v>
      </c>
      <c r="C376" s="10" t="s">
        <v>2204</v>
      </c>
      <c r="D376" s="10" t="s">
        <v>2194</v>
      </c>
      <c r="E376" s="10" t="s">
        <v>2195</v>
      </c>
      <c r="F376" s="10" t="s">
        <v>187</v>
      </c>
    </row>
    <row r="377" spans="1:6" x14ac:dyDescent="0.35">
      <c r="A377" s="10" t="s">
        <v>245</v>
      </c>
      <c r="B377" s="10" t="s">
        <v>1609</v>
      </c>
      <c r="C377" s="10" t="s">
        <v>2204</v>
      </c>
      <c r="D377" s="10" t="s">
        <v>2196</v>
      </c>
      <c r="E377" s="10" t="s">
        <v>2197</v>
      </c>
      <c r="F377" s="10" t="s">
        <v>187</v>
      </c>
    </row>
    <row r="378" spans="1:6" x14ac:dyDescent="0.35">
      <c r="A378" s="10" t="s">
        <v>245</v>
      </c>
      <c r="B378" s="10" t="s">
        <v>1609</v>
      </c>
      <c r="C378" s="10" t="s">
        <v>2204</v>
      </c>
      <c r="D378" s="10" t="s">
        <v>2200</v>
      </c>
      <c r="E378" s="10" t="s">
        <v>2201</v>
      </c>
      <c r="F378" s="10" t="s">
        <v>187</v>
      </c>
    </row>
    <row r="379" spans="1:6" x14ac:dyDescent="0.35">
      <c r="A379" s="10" t="s">
        <v>245</v>
      </c>
      <c r="B379" s="10" t="s">
        <v>1609</v>
      </c>
      <c r="C379" s="10" t="s">
        <v>2209</v>
      </c>
      <c r="D379" s="10" t="s">
        <v>2210</v>
      </c>
      <c r="E379" s="10" t="s">
        <v>2211</v>
      </c>
      <c r="F379" s="10" t="s">
        <v>187</v>
      </c>
    </row>
    <row r="380" spans="1:6" x14ac:dyDescent="0.35">
      <c r="A380" s="10" t="s">
        <v>245</v>
      </c>
      <c r="B380" s="10" t="s">
        <v>1609</v>
      </c>
      <c r="C380" s="10" t="s">
        <v>2209</v>
      </c>
      <c r="D380" s="10" t="s">
        <v>2212</v>
      </c>
      <c r="E380" s="10" t="s">
        <v>2213</v>
      </c>
      <c r="F380" s="10" t="s">
        <v>187</v>
      </c>
    </row>
    <row r="381" spans="1:6" x14ac:dyDescent="0.35">
      <c r="A381" s="10" t="s">
        <v>245</v>
      </c>
      <c r="B381" s="10" t="s">
        <v>1609</v>
      </c>
      <c r="C381" s="10" t="s">
        <v>2214</v>
      </c>
      <c r="D381" s="10" t="s">
        <v>1996</v>
      </c>
      <c r="E381" s="10" t="s">
        <v>1997</v>
      </c>
      <c r="F381" s="10" t="s">
        <v>187</v>
      </c>
    </row>
    <row r="382" spans="1:6" x14ac:dyDescent="0.35">
      <c r="A382" s="10" t="s">
        <v>245</v>
      </c>
      <c r="B382" s="10" t="s">
        <v>1609</v>
      </c>
      <c r="C382" s="10" t="s">
        <v>2214</v>
      </c>
      <c r="D382" s="10" t="s">
        <v>2192</v>
      </c>
      <c r="E382" s="10" t="s">
        <v>2193</v>
      </c>
      <c r="F382" s="10" t="s">
        <v>187</v>
      </c>
    </row>
    <row r="383" spans="1:6" x14ac:dyDescent="0.35">
      <c r="A383" s="10" t="s">
        <v>245</v>
      </c>
      <c r="B383" s="10" t="s">
        <v>1609</v>
      </c>
      <c r="C383" s="10" t="s">
        <v>2214</v>
      </c>
      <c r="D383" s="10" t="s">
        <v>2190</v>
      </c>
      <c r="E383" s="10" t="s">
        <v>2191</v>
      </c>
      <c r="F383" s="10" t="s">
        <v>187</v>
      </c>
    </row>
    <row r="384" spans="1:6" x14ac:dyDescent="0.35">
      <c r="A384" s="10" t="s">
        <v>245</v>
      </c>
      <c r="B384" s="10" t="s">
        <v>1609</v>
      </c>
      <c r="C384" s="10" t="s">
        <v>2214</v>
      </c>
      <c r="D384" s="10" t="s">
        <v>1998</v>
      </c>
      <c r="E384" s="10" t="s">
        <v>1999</v>
      </c>
      <c r="F384" s="10" t="s">
        <v>187</v>
      </c>
    </row>
    <row r="385" spans="1:6" x14ac:dyDescent="0.35">
      <c r="A385" s="10" t="s">
        <v>245</v>
      </c>
      <c r="B385" s="10" t="s">
        <v>1609</v>
      </c>
      <c r="C385" s="10" t="s">
        <v>2214</v>
      </c>
      <c r="D385" s="10" t="s">
        <v>1648</v>
      </c>
      <c r="E385" s="10" t="s">
        <v>1649</v>
      </c>
      <c r="F385" s="10" t="s">
        <v>187</v>
      </c>
    </row>
    <row r="386" spans="1:6" x14ac:dyDescent="0.35">
      <c r="A386" s="10" t="s">
        <v>245</v>
      </c>
      <c r="B386" s="10" t="s">
        <v>1609</v>
      </c>
      <c r="C386" s="10" t="s">
        <v>2214</v>
      </c>
      <c r="D386" s="10" t="s">
        <v>2000</v>
      </c>
      <c r="E386" s="10" t="s">
        <v>2001</v>
      </c>
      <c r="F386" s="10" t="s">
        <v>187</v>
      </c>
    </row>
    <row r="387" spans="1:6" x14ac:dyDescent="0.35">
      <c r="A387" s="10" t="s">
        <v>245</v>
      </c>
      <c r="B387" s="10" t="s">
        <v>1609</v>
      </c>
      <c r="C387" s="10" t="s">
        <v>2215</v>
      </c>
      <c r="D387" s="10" t="s">
        <v>1996</v>
      </c>
      <c r="E387" s="10" t="s">
        <v>1997</v>
      </c>
      <c r="F387" s="10" t="s">
        <v>187</v>
      </c>
    </row>
    <row r="388" spans="1:6" x14ac:dyDescent="0.35">
      <c r="A388" s="10" t="s">
        <v>245</v>
      </c>
      <c r="B388" s="10" t="s">
        <v>1609</v>
      </c>
      <c r="C388" s="10" t="s">
        <v>2215</v>
      </c>
      <c r="D388" s="10" t="s">
        <v>2188</v>
      </c>
      <c r="E388" s="10" t="s">
        <v>2189</v>
      </c>
      <c r="F388" s="10" t="s">
        <v>187</v>
      </c>
    </row>
    <row r="389" spans="1:6" x14ac:dyDescent="0.35">
      <c r="A389" s="10" t="s">
        <v>245</v>
      </c>
      <c r="B389" s="10" t="s">
        <v>1609</v>
      </c>
      <c r="C389" s="10" t="s">
        <v>2215</v>
      </c>
      <c r="D389" s="10" t="s">
        <v>2190</v>
      </c>
      <c r="E389" s="10" t="s">
        <v>2191</v>
      </c>
      <c r="F389" s="10" t="s">
        <v>187</v>
      </c>
    </row>
    <row r="390" spans="1:6" x14ac:dyDescent="0.35">
      <c r="A390" s="10" t="s">
        <v>245</v>
      </c>
      <c r="B390" s="10" t="s">
        <v>1609</v>
      </c>
      <c r="C390" s="10" t="s">
        <v>2215</v>
      </c>
      <c r="D390" s="10" t="s">
        <v>2216</v>
      </c>
      <c r="E390" s="10" t="s">
        <v>2217</v>
      </c>
      <c r="F390" s="10" t="s">
        <v>187</v>
      </c>
    </row>
    <row r="391" spans="1:6" x14ac:dyDescent="0.35">
      <c r="A391" s="10" t="s">
        <v>245</v>
      </c>
      <c r="B391" s="10" t="s">
        <v>1609</v>
      </c>
      <c r="C391" s="10" t="s">
        <v>2215</v>
      </c>
      <c r="D391" s="10" t="s">
        <v>2218</v>
      </c>
      <c r="E391" s="10" t="s">
        <v>2219</v>
      </c>
      <c r="F391" s="10" t="s">
        <v>187</v>
      </c>
    </row>
    <row r="392" spans="1:6" x14ac:dyDescent="0.35">
      <c r="A392" s="10" t="s">
        <v>245</v>
      </c>
      <c r="B392" s="10" t="s">
        <v>1609</v>
      </c>
      <c r="C392" s="10" t="s">
        <v>2215</v>
      </c>
      <c r="D392" s="10" t="s">
        <v>2220</v>
      </c>
      <c r="E392" s="10" t="s">
        <v>2221</v>
      </c>
      <c r="F392" s="10" t="s">
        <v>187</v>
      </c>
    </row>
    <row r="393" spans="1:6" x14ac:dyDescent="0.35">
      <c r="A393" s="10" t="s">
        <v>245</v>
      </c>
      <c r="B393" s="10" t="s">
        <v>1609</v>
      </c>
      <c r="C393" s="10" t="s">
        <v>2215</v>
      </c>
      <c r="D393" s="10" t="s">
        <v>2222</v>
      </c>
      <c r="E393" s="10" t="s">
        <v>2223</v>
      </c>
      <c r="F393" s="10" t="s">
        <v>187</v>
      </c>
    </row>
    <row r="394" spans="1:6" x14ac:dyDescent="0.35">
      <c r="A394" s="10" t="s">
        <v>245</v>
      </c>
      <c r="B394" s="10" t="s">
        <v>1609</v>
      </c>
      <c r="C394" s="10" t="s">
        <v>2215</v>
      </c>
      <c r="D394" s="10" t="s">
        <v>2224</v>
      </c>
      <c r="E394" s="10" t="s">
        <v>2225</v>
      </c>
      <c r="F394" s="10" t="s">
        <v>187</v>
      </c>
    </row>
    <row r="395" spans="1:6" x14ac:dyDescent="0.35">
      <c r="A395" s="10" t="s">
        <v>245</v>
      </c>
      <c r="B395" s="10" t="s">
        <v>1667</v>
      </c>
      <c r="C395" s="10" t="s">
        <v>1848</v>
      </c>
      <c r="D395" s="10" t="s">
        <v>2226</v>
      </c>
      <c r="E395" s="10" t="s">
        <v>2227</v>
      </c>
      <c r="F395" s="10" t="s">
        <v>187</v>
      </c>
    </row>
    <row r="396" spans="1:6" x14ac:dyDescent="0.35">
      <c r="A396" s="10" t="s">
        <v>245</v>
      </c>
      <c r="B396" s="10" t="s">
        <v>1650</v>
      </c>
      <c r="C396" s="10" t="s">
        <v>2228</v>
      </c>
      <c r="D396" s="10" t="s">
        <v>2229</v>
      </c>
      <c r="E396" s="10" t="s">
        <v>2230</v>
      </c>
      <c r="F396" s="10" t="s">
        <v>187</v>
      </c>
    </row>
    <row r="397" spans="1:6" ht="25" x14ac:dyDescent="0.35">
      <c r="A397" s="10" t="s">
        <v>245</v>
      </c>
      <c r="B397" s="10" t="s">
        <v>1650</v>
      </c>
      <c r="C397" s="10" t="s">
        <v>2231</v>
      </c>
      <c r="D397" s="10" t="s">
        <v>2232</v>
      </c>
      <c r="E397" s="10" t="s">
        <v>2233</v>
      </c>
      <c r="F397" s="10" t="s">
        <v>187</v>
      </c>
    </row>
    <row r="398" spans="1:6" x14ac:dyDescent="0.35">
      <c r="A398" s="10" t="s">
        <v>245</v>
      </c>
      <c r="B398" s="10" t="s">
        <v>1650</v>
      </c>
      <c r="C398" s="10" t="s">
        <v>2231</v>
      </c>
      <c r="D398" s="10" t="s">
        <v>2234</v>
      </c>
      <c r="E398" s="10" t="s">
        <v>2235</v>
      </c>
      <c r="F398" s="10" t="s">
        <v>187</v>
      </c>
    </row>
    <row r="399" spans="1:6" ht="25" x14ac:dyDescent="0.35">
      <c r="A399" s="10" t="s">
        <v>245</v>
      </c>
      <c r="B399" s="10" t="s">
        <v>1650</v>
      </c>
      <c r="C399" s="10" t="s">
        <v>2231</v>
      </c>
      <c r="D399" s="10" t="s">
        <v>2236</v>
      </c>
      <c r="E399" s="10" t="s">
        <v>2237</v>
      </c>
      <c r="F399" s="10" t="s">
        <v>187</v>
      </c>
    </row>
    <row r="400" spans="1:6" x14ac:dyDescent="0.35">
      <c r="A400" s="10" t="s">
        <v>245</v>
      </c>
      <c r="B400" s="10" t="s">
        <v>1650</v>
      </c>
      <c r="C400" s="10" t="s">
        <v>2238</v>
      </c>
      <c r="D400" s="10" t="s">
        <v>2185</v>
      </c>
      <c r="E400" s="10" t="s">
        <v>2239</v>
      </c>
      <c r="F400" s="10" t="s">
        <v>187</v>
      </c>
    </row>
    <row r="401" spans="1:6" x14ac:dyDescent="0.35">
      <c r="A401" s="10" t="s">
        <v>245</v>
      </c>
      <c r="B401" s="10" t="s">
        <v>1650</v>
      </c>
      <c r="C401" s="10" t="s">
        <v>1767</v>
      </c>
      <c r="D401" s="10" t="s">
        <v>1669</v>
      </c>
      <c r="E401" s="10" t="s">
        <v>1768</v>
      </c>
      <c r="F401" s="10" t="s">
        <v>187</v>
      </c>
    </row>
    <row r="402" spans="1:6" x14ac:dyDescent="0.35">
      <c r="A402" s="10" t="s">
        <v>245</v>
      </c>
      <c r="B402" s="10" t="s">
        <v>1650</v>
      </c>
      <c r="C402" s="10" t="s">
        <v>1767</v>
      </c>
      <c r="D402" s="10" t="s">
        <v>2240</v>
      </c>
      <c r="E402" s="10" t="s">
        <v>2241</v>
      </c>
      <c r="F402" s="10" t="s">
        <v>187</v>
      </c>
    </row>
    <row r="403" spans="1:6" x14ac:dyDescent="0.35">
      <c r="A403" s="10" t="s">
        <v>245</v>
      </c>
      <c r="B403" s="10" t="s">
        <v>1650</v>
      </c>
      <c r="C403" s="10" t="s">
        <v>1767</v>
      </c>
      <c r="D403" s="10" t="s">
        <v>2242</v>
      </c>
      <c r="E403" s="10" t="s">
        <v>2243</v>
      </c>
      <c r="F403" s="10" t="s">
        <v>187</v>
      </c>
    </row>
    <row r="404" spans="1:6" x14ac:dyDescent="0.35">
      <c r="A404" s="10" t="s">
        <v>245</v>
      </c>
      <c r="B404" s="10" t="s">
        <v>1650</v>
      </c>
      <c r="C404" s="10" t="s">
        <v>1767</v>
      </c>
      <c r="D404" s="10" t="s">
        <v>2244</v>
      </c>
      <c r="E404" s="10" t="s">
        <v>2245</v>
      </c>
      <c r="F404" s="10" t="s">
        <v>187</v>
      </c>
    </row>
    <row r="405" spans="1:6" x14ac:dyDescent="0.35">
      <c r="A405" s="10" t="s">
        <v>245</v>
      </c>
      <c r="B405" s="10" t="s">
        <v>1650</v>
      </c>
      <c r="C405" s="10" t="s">
        <v>1767</v>
      </c>
      <c r="D405" s="10" t="s">
        <v>2246</v>
      </c>
      <c r="E405" s="10" t="s">
        <v>2247</v>
      </c>
      <c r="F405" s="10" t="s">
        <v>187</v>
      </c>
    </row>
    <row r="406" spans="1:6" x14ac:dyDescent="0.35">
      <c r="A406" s="10" t="s">
        <v>245</v>
      </c>
      <c r="B406" s="10" t="s">
        <v>1650</v>
      </c>
      <c r="C406" s="10" t="s">
        <v>1767</v>
      </c>
      <c r="D406" s="10" t="s">
        <v>2248</v>
      </c>
      <c r="E406" s="10" t="s">
        <v>2249</v>
      </c>
      <c r="F406" s="10" t="s">
        <v>187</v>
      </c>
    </row>
    <row r="407" spans="1:6" x14ac:dyDescent="0.35">
      <c r="A407" s="10" t="s">
        <v>245</v>
      </c>
      <c r="B407" s="10" t="s">
        <v>1650</v>
      </c>
      <c r="C407" s="10" t="s">
        <v>1767</v>
      </c>
      <c r="D407" s="10" t="s">
        <v>2250</v>
      </c>
      <c r="E407" s="10" t="s">
        <v>2251</v>
      </c>
      <c r="F407" s="10" t="s">
        <v>187</v>
      </c>
    </row>
    <row r="408" spans="1:6" x14ac:dyDescent="0.35">
      <c r="A408" s="10" t="s">
        <v>245</v>
      </c>
      <c r="B408" s="10" t="s">
        <v>1650</v>
      </c>
      <c r="C408" s="10" t="s">
        <v>1767</v>
      </c>
      <c r="D408" s="10" t="s">
        <v>2252</v>
      </c>
      <c r="E408" s="10" t="s">
        <v>2253</v>
      </c>
      <c r="F408" s="10" t="s">
        <v>187</v>
      </c>
    </row>
    <row r="409" spans="1:6" x14ac:dyDescent="0.35">
      <c r="A409" s="10" t="s">
        <v>245</v>
      </c>
      <c r="B409" s="10" t="s">
        <v>1650</v>
      </c>
      <c r="C409" s="10" t="s">
        <v>1767</v>
      </c>
      <c r="D409" s="10" t="s">
        <v>2254</v>
      </c>
      <c r="E409" s="10" t="s">
        <v>2255</v>
      </c>
      <c r="F409" s="10" t="s">
        <v>187</v>
      </c>
    </row>
    <row r="410" spans="1:6" x14ac:dyDescent="0.35">
      <c r="A410" s="10" t="s">
        <v>245</v>
      </c>
      <c r="B410" s="10" t="s">
        <v>1650</v>
      </c>
      <c r="C410" s="10" t="s">
        <v>1767</v>
      </c>
      <c r="D410" s="10" t="s">
        <v>2256</v>
      </c>
      <c r="E410" s="10" t="s">
        <v>2257</v>
      </c>
      <c r="F410" s="10" t="s">
        <v>187</v>
      </c>
    </row>
    <row r="411" spans="1:6" x14ac:dyDescent="0.35">
      <c r="A411" s="10" t="s">
        <v>245</v>
      </c>
      <c r="B411" s="10" t="s">
        <v>1650</v>
      </c>
      <c r="C411" s="10" t="s">
        <v>1767</v>
      </c>
      <c r="D411" s="10" t="s">
        <v>2258</v>
      </c>
      <c r="E411" s="10" t="s">
        <v>2259</v>
      </c>
      <c r="F411" s="10" t="s">
        <v>187</v>
      </c>
    </row>
    <row r="412" spans="1:6" x14ac:dyDescent="0.35">
      <c r="A412" s="10" t="s">
        <v>245</v>
      </c>
      <c r="B412" s="10" t="s">
        <v>1650</v>
      </c>
      <c r="C412" s="10" t="s">
        <v>1767</v>
      </c>
      <c r="D412" s="10" t="s">
        <v>2260</v>
      </c>
      <c r="E412" s="10" t="s">
        <v>2261</v>
      </c>
      <c r="F412" s="10" t="s">
        <v>187</v>
      </c>
    </row>
    <row r="413" spans="1:6" x14ac:dyDescent="0.35">
      <c r="A413" s="10" t="s">
        <v>245</v>
      </c>
      <c r="B413" s="10" t="s">
        <v>1650</v>
      </c>
      <c r="C413" s="10" t="s">
        <v>1767</v>
      </c>
      <c r="D413" s="10" t="s">
        <v>2262</v>
      </c>
      <c r="E413" s="10" t="s">
        <v>2263</v>
      </c>
      <c r="F413" s="10" t="s">
        <v>187</v>
      </c>
    </row>
    <row r="414" spans="1:6" x14ac:dyDescent="0.35">
      <c r="A414" s="10" t="s">
        <v>245</v>
      </c>
      <c r="B414" s="10" t="s">
        <v>1650</v>
      </c>
      <c r="C414" s="10" t="s">
        <v>1767</v>
      </c>
      <c r="D414" s="10" t="s">
        <v>2264</v>
      </c>
      <c r="E414" s="10" t="s">
        <v>2265</v>
      </c>
      <c r="F414" s="10" t="s">
        <v>187</v>
      </c>
    </row>
    <row r="415" spans="1:6" x14ac:dyDescent="0.35">
      <c r="A415" s="10" t="s">
        <v>245</v>
      </c>
      <c r="B415" s="10" t="s">
        <v>1650</v>
      </c>
      <c r="C415" s="10" t="s">
        <v>1767</v>
      </c>
      <c r="D415" s="10" t="s">
        <v>2266</v>
      </c>
      <c r="E415" s="10" t="s">
        <v>2267</v>
      </c>
      <c r="F415" s="10" t="s">
        <v>187</v>
      </c>
    </row>
    <row r="416" spans="1:6" x14ac:dyDescent="0.35">
      <c r="A416" s="10" t="s">
        <v>245</v>
      </c>
      <c r="B416" s="10" t="s">
        <v>1650</v>
      </c>
      <c r="C416" s="10" t="s">
        <v>1767</v>
      </c>
      <c r="D416" s="10" t="s">
        <v>2268</v>
      </c>
      <c r="E416" s="10" t="s">
        <v>2269</v>
      </c>
      <c r="F416" s="10" t="s">
        <v>187</v>
      </c>
    </row>
    <row r="417" spans="1:6" x14ac:dyDescent="0.35">
      <c r="A417" s="10" t="s">
        <v>245</v>
      </c>
      <c r="B417" s="10" t="s">
        <v>1650</v>
      </c>
      <c r="C417" s="10" t="s">
        <v>1767</v>
      </c>
      <c r="D417" s="10" t="s">
        <v>2270</v>
      </c>
      <c r="E417" s="10" t="s">
        <v>2271</v>
      </c>
      <c r="F417" s="10" t="s">
        <v>187</v>
      </c>
    </row>
    <row r="418" spans="1:6" x14ac:dyDescent="0.35">
      <c r="A418" s="10" t="s">
        <v>245</v>
      </c>
      <c r="B418" s="10" t="s">
        <v>1650</v>
      </c>
      <c r="C418" s="10" t="s">
        <v>1767</v>
      </c>
      <c r="D418" s="10" t="s">
        <v>2272</v>
      </c>
      <c r="E418" s="10" t="s">
        <v>2273</v>
      </c>
      <c r="F418" s="10" t="s">
        <v>187</v>
      </c>
    </row>
    <row r="419" spans="1:6" x14ac:dyDescent="0.35">
      <c r="A419" s="10" t="s">
        <v>245</v>
      </c>
      <c r="B419" s="10" t="s">
        <v>1650</v>
      </c>
      <c r="C419" s="10" t="s">
        <v>1767</v>
      </c>
      <c r="D419" s="10" t="s">
        <v>2274</v>
      </c>
      <c r="E419" s="10" t="s">
        <v>2275</v>
      </c>
      <c r="F419" s="10" t="s">
        <v>187</v>
      </c>
    </row>
    <row r="420" spans="1:6" x14ac:dyDescent="0.35">
      <c r="A420" s="10" t="s">
        <v>245</v>
      </c>
      <c r="B420" s="10" t="s">
        <v>1650</v>
      </c>
      <c r="C420" s="10" t="s">
        <v>1767</v>
      </c>
      <c r="D420" s="10" t="s">
        <v>2276</v>
      </c>
      <c r="E420" s="10" t="s">
        <v>2277</v>
      </c>
      <c r="F420" s="10" t="s">
        <v>187</v>
      </c>
    </row>
    <row r="421" spans="1:6" x14ac:dyDescent="0.35">
      <c r="A421" s="10" t="s">
        <v>245</v>
      </c>
      <c r="B421" s="10" t="s">
        <v>1650</v>
      </c>
      <c r="C421" s="10" t="s">
        <v>1767</v>
      </c>
      <c r="D421" s="10" t="s">
        <v>2278</v>
      </c>
      <c r="E421" s="10" t="s">
        <v>2279</v>
      </c>
      <c r="F421" s="10" t="s">
        <v>187</v>
      </c>
    </row>
    <row r="422" spans="1:6" x14ac:dyDescent="0.35">
      <c r="A422" s="10" t="s">
        <v>245</v>
      </c>
      <c r="B422" s="10" t="s">
        <v>1667</v>
      </c>
      <c r="C422" s="10" t="s">
        <v>1668</v>
      </c>
      <c r="D422" s="10" t="s">
        <v>1789</v>
      </c>
      <c r="E422" s="10" t="s">
        <v>1790</v>
      </c>
      <c r="F422" s="10" t="s">
        <v>187</v>
      </c>
    </row>
    <row r="423" spans="1:6" x14ac:dyDescent="0.35">
      <c r="A423" s="10" t="s">
        <v>245</v>
      </c>
      <c r="B423" s="10" t="s">
        <v>1667</v>
      </c>
      <c r="C423" s="10" t="s">
        <v>1668</v>
      </c>
      <c r="D423" s="10" t="s">
        <v>1791</v>
      </c>
      <c r="E423" s="10" t="s">
        <v>1792</v>
      </c>
      <c r="F423" s="10" t="s">
        <v>187</v>
      </c>
    </row>
    <row r="424" spans="1:6" x14ac:dyDescent="0.35">
      <c r="A424" s="10" t="s">
        <v>245</v>
      </c>
      <c r="B424" s="10" t="s">
        <v>1650</v>
      </c>
      <c r="C424" s="10" t="s">
        <v>2280</v>
      </c>
      <c r="D424" s="10" t="s">
        <v>1996</v>
      </c>
      <c r="E424" s="10" t="s">
        <v>2281</v>
      </c>
      <c r="F424" s="10" t="s">
        <v>187</v>
      </c>
    </row>
    <row r="425" spans="1:6" x14ac:dyDescent="0.35">
      <c r="A425" s="10" t="s">
        <v>245</v>
      </c>
      <c r="B425" s="10" t="s">
        <v>1650</v>
      </c>
      <c r="C425" s="10" t="s">
        <v>2280</v>
      </c>
      <c r="D425" s="10" t="s">
        <v>2190</v>
      </c>
      <c r="E425" s="10" t="s">
        <v>2282</v>
      </c>
      <c r="F425" s="10" t="s">
        <v>187</v>
      </c>
    </row>
    <row r="426" spans="1:6" x14ac:dyDescent="0.35">
      <c r="A426" s="10" t="s">
        <v>245</v>
      </c>
      <c r="B426" s="10" t="s">
        <v>1650</v>
      </c>
      <c r="C426" s="10" t="s">
        <v>2280</v>
      </c>
      <c r="D426" s="10" t="s">
        <v>2188</v>
      </c>
      <c r="E426" s="10" t="s">
        <v>2283</v>
      </c>
      <c r="F426" s="10" t="s">
        <v>187</v>
      </c>
    </row>
    <row r="427" spans="1:6" x14ac:dyDescent="0.35">
      <c r="A427" s="10" t="s">
        <v>245</v>
      </c>
      <c r="B427" s="10" t="s">
        <v>1650</v>
      </c>
      <c r="C427" s="10" t="s">
        <v>2280</v>
      </c>
      <c r="D427" s="10" t="s">
        <v>2192</v>
      </c>
      <c r="E427" s="10" t="s">
        <v>2284</v>
      </c>
      <c r="F427" s="10" t="s">
        <v>187</v>
      </c>
    </row>
    <row r="428" spans="1:6" x14ac:dyDescent="0.35">
      <c r="A428" s="10" t="s">
        <v>245</v>
      </c>
      <c r="B428" s="10" t="s">
        <v>1650</v>
      </c>
      <c r="C428" s="10" t="s">
        <v>2280</v>
      </c>
      <c r="D428" s="10" t="s">
        <v>2194</v>
      </c>
      <c r="E428" s="10" t="s">
        <v>2285</v>
      </c>
      <c r="F428" s="10" t="s">
        <v>187</v>
      </c>
    </row>
    <row r="429" spans="1:6" x14ac:dyDescent="0.35">
      <c r="A429" s="10" t="s">
        <v>245</v>
      </c>
      <c r="B429" s="10" t="s">
        <v>1650</v>
      </c>
      <c r="C429" s="10" t="s">
        <v>2280</v>
      </c>
      <c r="D429" s="10" t="s">
        <v>2196</v>
      </c>
      <c r="E429" s="10" t="s">
        <v>2286</v>
      </c>
      <c r="F429" s="10" t="s">
        <v>187</v>
      </c>
    </row>
    <row r="430" spans="1:6" x14ac:dyDescent="0.35">
      <c r="A430" s="10" t="s">
        <v>245</v>
      </c>
      <c r="B430" s="10" t="s">
        <v>1650</v>
      </c>
      <c r="C430" s="10" t="s">
        <v>2280</v>
      </c>
      <c r="D430" s="10" t="s">
        <v>2198</v>
      </c>
      <c r="E430" s="10" t="s">
        <v>2287</v>
      </c>
      <c r="F430" s="10" t="s">
        <v>187</v>
      </c>
    </row>
    <row r="431" spans="1:6" x14ac:dyDescent="0.35">
      <c r="A431" s="10" t="s">
        <v>245</v>
      </c>
      <c r="B431" s="10" t="s">
        <v>1650</v>
      </c>
      <c r="C431" s="10" t="s">
        <v>2280</v>
      </c>
      <c r="D431" s="10" t="s">
        <v>2200</v>
      </c>
      <c r="E431" s="10" t="s">
        <v>2288</v>
      </c>
      <c r="F431" s="10" t="s">
        <v>187</v>
      </c>
    </row>
    <row r="432" spans="1:6" x14ac:dyDescent="0.35">
      <c r="A432" s="10" t="s">
        <v>245</v>
      </c>
      <c r="B432" s="10" t="s">
        <v>1650</v>
      </c>
      <c r="C432" s="10" t="s">
        <v>2280</v>
      </c>
      <c r="D432" s="10" t="s">
        <v>2202</v>
      </c>
      <c r="E432" s="10" t="s">
        <v>2289</v>
      </c>
      <c r="F432" s="10" t="s">
        <v>187</v>
      </c>
    </row>
    <row r="433" spans="1:6" x14ac:dyDescent="0.35">
      <c r="A433" s="10" t="s">
        <v>245</v>
      </c>
      <c r="B433" s="10" t="s">
        <v>1650</v>
      </c>
      <c r="C433" s="10" t="s">
        <v>2290</v>
      </c>
      <c r="D433" s="10" t="s">
        <v>2291</v>
      </c>
      <c r="E433" s="10" t="s">
        <v>2292</v>
      </c>
      <c r="F433" s="10" t="s">
        <v>187</v>
      </c>
    </row>
    <row r="434" spans="1:6" x14ac:dyDescent="0.35">
      <c r="A434" s="10" t="s">
        <v>245</v>
      </c>
      <c r="B434" s="10" t="s">
        <v>1650</v>
      </c>
      <c r="C434" s="10" t="s">
        <v>2290</v>
      </c>
      <c r="D434" s="10" t="s">
        <v>2293</v>
      </c>
      <c r="E434" s="10" t="s">
        <v>2294</v>
      </c>
      <c r="F434" s="10" t="s">
        <v>187</v>
      </c>
    </row>
    <row r="435" spans="1:6" x14ac:dyDescent="0.35">
      <c r="A435" s="10" t="s">
        <v>245</v>
      </c>
      <c r="B435" s="10" t="s">
        <v>1650</v>
      </c>
      <c r="C435" s="10" t="s">
        <v>2295</v>
      </c>
      <c r="D435" s="10" t="s">
        <v>1996</v>
      </c>
      <c r="E435" s="10" t="s">
        <v>2296</v>
      </c>
      <c r="F435" s="10" t="s">
        <v>187</v>
      </c>
    </row>
    <row r="436" spans="1:6" x14ac:dyDescent="0.35">
      <c r="A436" s="10" t="s">
        <v>245</v>
      </c>
      <c r="B436" s="10" t="s">
        <v>1650</v>
      </c>
      <c r="C436" s="10" t="s">
        <v>2295</v>
      </c>
      <c r="D436" s="10" t="s">
        <v>2190</v>
      </c>
      <c r="E436" s="10" t="s">
        <v>2297</v>
      </c>
      <c r="F436" s="10" t="s">
        <v>187</v>
      </c>
    </row>
    <row r="437" spans="1:6" x14ac:dyDescent="0.35">
      <c r="A437" s="10" t="s">
        <v>245</v>
      </c>
      <c r="B437" s="10" t="s">
        <v>1650</v>
      </c>
      <c r="C437" s="10" t="s">
        <v>2295</v>
      </c>
      <c r="D437" s="10" t="s">
        <v>2188</v>
      </c>
      <c r="E437" s="10" t="s">
        <v>2298</v>
      </c>
      <c r="F437" s="10" t="s">
        <v>187</v>
      </c>
    </row>
    <row r="438" spans="1:6" x14ac:dyDescent="0.35">
      <c r="A438" s="10" t="s">
        <v>245</v>
      </c>
      <c r="B438" s="10" t="s">
        <v>1650</v>
      </c>
      <c r="C438" s="10" t="s">
        <v>2295</v>
      </c>
      <c r="D438" s="10" t="s">
        <v>2192</v>
      </c>
      <c r="E438" s="10" t="s">
        <v>2299</v>
      </c>
      <c r="F438" s="10" t="s">
        <v>187</v>
      </c>
    </row>
    <row r="439" spans="1:6" x14ac:dyDescent="0.35">
      <c r="A439" s="10" t="s">
        <v>245</v>
      </c>
      <c r="B439" s="10" t="s">
        <v>1650</v>
      </c>
      <c r="C439" s="10" t="s">
        <v>2295</v>
      </c>
      <c r="D439" s="10" t="s">
        <v>2207</v>
      </c>
      <c r="E439" s="10" t="s">
        <v>2300</v>
      </c>
      <c r="F439" s="10" t="s">
        <v>187</v>
      </c>
    </row>
    <row r="440" spans="1:6" x14ac:dyDescent="0.35">
      <c r="A440" s="10" t="s">
        <v>245</v>
      </c>
      <c r="B440" s="10" t="s">
        <v>1650</v>
      </c>
      <c r="C440" s="10" t="s">
        <v>2295</v>
      </c>
      <c r="D440" s="10" t="s">
        <v>2053</v>
      </c>
      <c r="E440" s="10" t="s">
        <v>2301</v>
      </c>
      <c r="F440" s="10" t="s">
        <v>187</v>
      </c>
    </row>
    <row r="441" spans="1:6" x14ac:dyDescent="0.35">
      <c r="A441" s="10" t="s">
        <v>245</v>
      </c>
      <c r="B441" s="10" t="s">
        <v>1650</v>
      </c>
      <c r="C441" s="10" t="s">
        <v>2295</v>
      </c>
      <c r="D441" s="10" t="s">
        <v>2194</v>
      </c>
      <c r="E441" s="10" t="s">
        <v>2302</v>
      </c>
      <c r="F441" s="10" t="s">
        <v>187</v>
      </c>
    </row>
    <row r="442" spans="1:6" x14ac:dyDescent="0.35">
      <c r="A442" s="10" t="s">
        <v>245</v>
      </c>
      <c r="B442" s="10" t="s">
        <v>1650</v>
      </c>
      <c r="C442" s="10" t="s">
        <v>2295</v>
      </c>
      <c r="D442" s="10" t="s">
        <v>2196</v>
      </c>
      <c r="E442" s="10" t="s">
        <v>2303</v>
      </c>
      <c r="F442" s="10" t="s">
        <v>187</v>
      </c>
    </row>
    <row r="443" spans="1:6" x14ac:dyDescent="0.35">
      <c r="A443" s="10" t="s">
        <v>245</v>
      </c>
      <c r="B443" s="10" t="s">
        <v>1650</v>
      </c>
      <c r="C443" s="10" t="s">
        <v>2295</v>
      </c>
      <c r="D443" s="10" t="s">
        <v>2200</v>
      </c>
      <c r="E443" s="10" t="s">
        <v>2304</v>
      </c>
      <c r="F443" s="10" t="s">
        <v>187</v>
      </c>
    </row>
    <row r="444" spans="1:6" x14ac:dyDescent="0.35">
      <c r="A444" s="10" t="s">
        <v>245</v>
      </c>
      <c r="B444" s="10" t="s">
        <v>1650</v>
      </c>
      <c r="C444" s="10" t="s">
        <v>2305</v>
      </c>
      <c r="D444" s="10" t="s">
        <v>1996</v>
      </c>
      <c r="E444" s="10" t="s">
        <v>2306</v>
      </c>
      <c r="F444" s="10" t="s">
        <v>187</v>
      </c>
    </row>
    <row r="445" spans="1:6" x14ac:dyDescent="0.35">
      <c r="A445" s="10" t="s">
        <v>245</v>
      </c>
      <c r="B445" s="10" t="s">
        <v>1650</v>
      </c>
      <c r="C445" s="10" t="s">
        <v>2305</v>
      </c>
      <c r="D445" s="10" t="s">
        <v>2192</v>
      </c>
      <c r="E445" s="10" t="s">
        <v>2307</v>
      </c>
      <c r="F445" s="10" t="s">
        <v>187</v>
      </c>
    </row>
    <row r="446" spans="1:6" x14ac:dyDescent="0.35">
      <c r="A446" s="10" t="s">
        <v>245</v>
      </c>
      <c r="B446" s="10" t="s">
        <v>1650</v>
      </c>
      <c r="C446" s="10" t="s">
        <v>2305</v>
      </c>
      <c r="D446" s="10" t="s">
        <v>2190</v>
      </c>
      <c r="E446" s="10" t="s">
        <v>2308</v>
      </c>
      <c r="F446" s="10" t="s">
        <v>187</v>
      </c>
    </row>
    <row r="447" spans="1:6" x14ac:dyDescent="0.35">
      <c r="A447" s="10" t="s">
        <v>245</v>
      </c>
      <c r="B447" s="10" t="s">
        <v>1650</v>
      </c>
      <c r="C447" s="10" t="s">
        <v>2305</v>
      </c>
      <c r="D447" s="10" t="s">
        <v>1998</v>
      </c>
      <c r="E447" s="10" t="s">
        <v>2309</v>
      </c>
      <c r="F447" s="10" t="s">
        <v>187</v>
      </c>
    </row>
    <row r="448" spans="1:6" x14ac:dyDescent="0.35">
      <c r="A448" s="10" t="s">
        <v>245</v>
      </c>
      <c r="B448" s="10" t="s">
        <v>1650</v>
      </c>
      <c r="C448" s="10" t="s">
        <v>2305</v>
      </c>
      <c r="D448" s="10" t="s">
        <v>1648</v>
      </c>
      <c r="E448" s="10" t="s">
        <v>2310</v>
      </c>
      <c r="F448" s="10" t="s">
        <v>187</v>
      </c>
    </row>
    <row r="449" spans="1:6" x14ac:dyDescent="0.35">
      <c r="A449" s="10" t="s">
        <v>245</v>
      </c>
      <c r="B449" s="10" t="s">
        <v>1650</v>
      </c>
      <c r="C449" s="10" t="s">
        <v>2305</v>
      </c>
      <c r="D449" s="10" t="s">
        <v>2000</v>
      </c>
      <c r="E449" s="10" t="s">
        <v>2311</v>
      </c>
      <c r="F449" s="10" t="s">
        <v>187</v>
      </c>
    </row>
    <row r="450" spans="1:6" x14ac:dyDescent="0.35">
      <c r="A450" s="10" t="s">
        <v>245</v>
      </c>
      <c r="B450" s="10" t="s">
        <v>1667</v>
      </c>
      <c r="C450" s="10" t="s">
        <v>2312</v>
      </c>
      <c r="D450" s="10" t="s">
        <v>2313</v>
      </c>
      <c r="E450" s="10" t="s">
        <v>2314</v>
      </c>
      <c r="F450" s="10" t="s">
        <v>187</v>
      </c>
    </row>
    <row r="451" spans="1:6" x14ac:dyDescent="0.35">
      <c r="A451" s="10" t="s">
        <v>245</v>
      </c>
      <c r="B451" s="10" t="s">
        <v>1667</v>
      </c>
      <c r="C451" s="10" t="s">
        <v>2312</v>
      </c>
      <c r="D451" s="10" t="s">
        <v>2315</v>
      </c>
      <c r="E451" s="10" t="s">
        <v>2316</v>
      </c>
      <c r="F451" s="10" t="s">
        <v>187</v>
      </c>
    </row>
    <row r="452" spans="1:6" x14ac:dyDescent="0.35">
      <c r="A452" s="10" t="s">
        <v>245</v>
      </c>
      <c r="B452" s="10" t="s">
        <v>1667</v>
      </c>
      <c r="C452" s="10" t="s">
        <v>2312</v>
      </c>
      <c r="D452" s="10" t="s">
        <v>2317</v>
      </c>
      <c r="E452" s="10" t="s">
        <v>2318</v>
      </c>
      <c r="F452" s="10" t="s">
        <v>187</v>
      </c>
    </row>
    <row r="453" spans="1:6" x14ac:dyDescent="0.35">
      <c r="A453" s="10" t="s">
        <v>245</v>
      </c>
      <c r="B453" s="10" t="s">
        <v>1667</v>
      </c>
      <c r="C453" s="10" t="s">
        <v>2312</v>
      </c>
      <c r="D453" s="10" t="s">
        <v>2319</v>
      </c>
      <c r="E453" s="10" t="s">
        <v>2320</v>
      </c>
      <c r="F453" s="10" t="s">
        <v>187</v>
      </c>
    </row>
    <row r="454" spans="1:6" x14ac:dyDescent="0.35">
      <c r="A454" s="10" t="s">
        <v>245</v>
      </c>
      <c r="B454" s="10" t="s">
        <v>1650</v>
      </c>
      <c r="C454" s="10" t="s">
        <v>2321</v>
      </c>
      <c r="D454" s="10" t="s">
        <v>1996</v>
      </c>
      <c r="E454" s="10" t="s">
        <v>2322</v>
      </c>
      <c r="F454" s="10" t="s">
        <v>187</v>
      </c>
    </row>
    <row r="455" spans="1:6" x14ac:dyDescent="0.35">
      <c r="A455" s="10" t="s">
        <v>245</v>
      </c>
      <c r="B455" s="10" t="s">
        <v>1650</v>
      </c>
      <c r="C455" s="10" t="s">
        <v>2321</v>
      </c>
      <c r="D455" s="10" t="s">
        <v>2220</v>
      </c>
      <c r="E455" s="10" t="s">
        <v>2323</v>
      </c>
      <c r="F455" s="10" t="s">
        <v>187</v>
      </c>
    </row>
    <row r="456" spans="1:6" x14ac:dyDescent="0.35">
      <c r="A456" s="10" t="s">
        <v>245</v>
      </c>
      <c r="B456" s="10" t="s">
        <v>1650</v>
      </c>
      <c r="C456" s="10" t="s">
        <v>2321</v>
      </c>
      <c r="D456" s="10" t="s">
        <v>2188</v>
      </c>
      <c r="E456" s="10" t="s">
        <v>2324</v>
      </c>
      <c r="F456" s="10" t="s">
        <v>187</v>
      </c>
    </row>
    <row r="457" spans="1:6" x14ac:dyDescent="0.35">
      <c r="A457" s="10" t="s">
        <v>245</v>
      </c>
      <c r="B457" s="10" t="s">
        <v>1650</v>
      </c>
      <c r="C457" s="10" t="s">
        <v>2321</v>
      </c>
      <c r="D457" s="10" t="s">
        <v>2188</v>
      </c>
      <c r="E457" s="10" t="s">
        <v>2325</v>
      </c>
      <c r="F457" s="10" t="s">
        <v>187</v>
      </c>
    </row>
    <row r="458" spans="1:6" x14ac:dyDescent="0.35">
      <c r="A458" s="10" t="s">
        <v>245</v>
      </c>
      <c r="B458" s="10" t="s">
        <v>1650</v>
      </c>
      <c r="C458" s="10" t="s">
        <v>2321</v>
      </c>
      <c r="D458" s="10" t="s">
        <v>2216</v>
      </c>
      <c r="E458" s="10" t="s">
        <v>2326</v>
      </c>
      <c r="F458" s="10" t="s">
        <v>187</v>
      </c>
    </row>
    <row r="459" spans="1:6" x14ac:dyDescent="0.35">
      <c r="A459" s="10" t="s">
        <v>245</v>
      </c>
      <c r="B459" s="10" t="s">
        <v>1650</v>
      </c>
      <c r="C459" s="10" t="s">
        <v>2321</v>
      </c>
      <c r="D459" s="10" t="s">
        <v>2218</v>
      </c>
      <c r="E459" s="10" t="s">
        <v>2327</v>
      </c>
      <c r="F459" s="10" t="s">
        <v>187</v>
      </c>
    </row>
    <row r="460" spans="1:6" x14ac:dyDescent="0.35">
      <c r="A460" s="10" t="s">
        <v>245</v>
      </c>
      <c r="B460" s="10" t="s">
        <v>1650</v>
      </c>
      <c r="C460" s="10" t="s">
        <v>2321</v>
      </c>
      <c r="D460" s="10" t="s">
        <v>2222</v>
      </c>
      <c r="E460" s="10" t="s">
        <v>2328</v>
      </c>
      <c r="F460" s="10" t="s">
        <v>187</v>
      </c>
    </row>
    <row r="461" spans="1:6" x14ac:dyDescent="0.35">
      <c r="A461" s="10" t="s">
        <v>245</v>
      </c>
      <c r="B461" s="10" t="s">
        <v>1650</v>
      </c>
      <c r="C461" s="10" t="s">
        <v>2321</v>
      </c>
      <c r="D461" s="10" t="s">
        <v>2329</v>
      </c>
      <c r="E461" s="10" t="s">
        <v>2330</v>
      </c>
      <c r="F461" s="10" t="s">
        <v>187</v>
      </c>
    </row>
    <row r="462" spans="1:6" x14ac:dyDescent="0.35">
      <c r="A462" s="10" t="s">
        <v>245</v>
      </c>
      <c r="B462" s="10" t="s">
        <v>1667</v>
      </c>
      <c r="C462" s="10" t="s">
        <v>1858</v>
      </c>
      <c r="D462" s="10" t="s">
        <v>2331</v>
      </c>
      <c r="E462" s="10" t="s">
        <v>2332</v>
      </c>
      <c r="F462" s="10" t="s">
        <v>187</v>
      </c>
    </row>
    <row r="463" spans="1:6" x14ac:dyDescent="0.35">
      <c r="A463" s="10" t="s">
        <v>245</v>
      </c>
      <c r="B463" s="10" t="s">
        <v>1667</v>
      </c>
      <c r="C463" s="10" t="s">
        <v>1858</v>
      </c>
      <c r="D463" s="10" t="s">
        <v>2333</v>
      </c>
      <c r="E463" s="10" t="s">
        <v>2334</v>
      </c>
      <c r="F463" s="10" t="s">
        <v>187</v>
      </c>
    </row>
    <row r="464" spans="1:6" x14ac:dyDescent="0.35">
      <c r="A464" s="10" t="s">
        <v>245</v>
      </c>
      <c r="B464" s="10" t="s">
        <v>1667</v>
      </c>
      <c r="C464" s="10" t="s">
        <v>1858</v>
      </c>
      <c r="D464" s="10" t="s">
        <v>2161</v>
      </c>
      <c r="E464" s="10" t="s">
        <v>2162</v>
      </c>
      <c r="F464" s="10" t="s">
        <v>187</v>
      </c>
    </row>
    <row r="465" spans="1:6" ht="50" x14ac:dyDescent="0.35">
      <c r="A465" s="10" t="s">
        <v>245</v>
      </c>
      <c r="B465" s="10" t="s">
        <v>2335</v>
      </c>
      <c r="C465" s="10" t="s">
        <v>2336</v>
      </c>
      <c r="D465" s="10" t="s">
        <v>2337</v>
      </c>
      <c r="E465" s="10" t="s">
        <v>2338</v>
      </c>
      <c r="F465" s="10" t="s">
        <v>2339</v>
      </c>
    </row>
    <row r="466" spans="1:6" x14ac:dyDescent="0.35">
      <c r="A466" s="10" t="s">
        <v>245</v>
      </c>
      <c r="B466" s="10" t="s">
        <v>2335</v>
      </c>
      <c r="C466" s="10" t="s">
        <v>2340</v>
      </c>
      <c r="D466" s="10" t="s">
        <v>2341</v>
      </c>
      <c r="E466" s="10" t="s">
        <v>2342</v>
      </c>
      <c r="F466" s="10" t="s">
        <v>2343</v>
      </c>
    </row>
    <row r="467" spans="1:6" x14ac:dyDescent="0.35">
      <c r="A467" s="10" t="s">
        <v>245</v>
      </c>
      <c r="B467" s="10" t="s">
        <v>2335</v>
      </c>
      <c r="C467" s="10" t="s">
        <v>2344</v>
      </c>
      <c r="D467" s="10" t="s">
        <v>2345</v>
      </c>
      <c r="E467" s="10" t="s">
        <v>2346</v>
      </c>
      <c r="F467" s="10" t="s">
        <v>2343</v>
      </c>
    </row>
    <row r="468" spans="1:6" x14ac:dyDescent="0.35">
      <c r="A468" s="10" t="s">
        <v>245</v>
      </c>
      <c r="B468" s="10" t="s">
        <v>2335</v>
      </c>
      <c r="C468" s="10" t="s">
        <v>2347</v>
      </c>
      <c r="D468" s="10" t="s">
        <v>2348</v>
      </c>
      <c r="E468" s="10" t="s">
        <v>2349</v>
      </c>
      <c r="F468" s="10" t="s">
        <v>2350</v>
      </c>
    </row>
    <row r="469" spans="1:6" x14ac:dyDescent="0.35">
      <c r="A469" s="10" t="s">
        <v>245</v>
      </c>
      <c r="B469" s="10" t="s">
        <v>2335</v>
      </c>
      <c r="C469" s="10" t="s">
        <v>2351</v>
      </c>
      <c r="D469" s="10" t="s">
        <v>2352</v>
      </c>
      <c r="E469" s="10" t="s">
        <v>2353</v>
      </c>
      <c r="F469" s="10" t="s">
        <v>2354</v>
      </c>
    </row>
    <row r="470" spans="1:6" x14ac:dyDescent="0.35">
      <c r="A470" s="10" t="s">
        <v>258</v>
      </c>
      <c r="B470" s="10" t="s">
        <v>1609</v>
      </c>
      <c r="C470" s="10" t="s">
        <v>2355</v>
      </c>
      <c r="D470" s="10" t="s">
        <v>1996</v>
      </c>
      <c r="E470" s="10" t="s">
        <v>2356</v>
      </c>
      <c r="F470" s="10" t="s">
        <v>187</v>
      </c>
    </row>
    <row r="471" spans="1:6" x14ac:dyDescent="0.35">
      <c r="A471" s="10" t="s">
        <v>258</v>
      </c>
      <c r="B471" s="10" t="s">
        <v>1609</v>
      </c>
      <c r="C471" s="10" t="s">
        <v>2355</v>
      </c>
      <c r="D471" s="10" t="s">
        <v>2357</v>
      </c>
      <c r="E471" s="10" t="s">
        <v>2358</v>
      </c>
      <c r="F471" s="10" t="s">
        <v>187</v>
      </c>
    </row>
    <row r="472" spans="1:6" x14ac:dyDescent="0.35">
      <c r="A472" s="10" t="s">
        <v>258</v>
      </c>
      <c r="B472" s="10" t="s">
        <v>1609</v>
      </c>
      <c r="C472" s="10" t="s">
        <v>2355</v>
      </c>
      <c r="D472" s="10" t="s">
        <v>2359</v>
      </c>
      <c r="E472" s="10" t="s">
        <v>2360</v>
      </c>
      <c r="F472" s="10" t="s">
        <v>187</v>
      </c>
    </row>
    <row r="473" spans="1:6" x14ac:dyDescent="0.35">
      <c r="A473" s="10" t="s">
        <v>258</v>
      </c>
      <c r="B473" s="10" t="s">
        <v>1609</v>
      </c>
      <c r="C473" s="10" t="s">
        <v>2361</v>
      </c>
      <c r="D473" s="10" t="s">
        <v>2362</v>
      </c>
      <c r="E473" s="10" t="s">
        <v>2363</v>
      </c>
      <c r="F473" s="10" t="s">
        <v>187</v>
      </c>
    </row>
    <row r="474" spans="1:6" x14ac:dyDescent="0.35">
      <c r="A474" s="10" t="s">
        <v>258</v>
      </c>
      <c r="B474" s="10" t="s">
        <v>1609</v>
      </c>
      <c r="C474" s="10" t="s">
        <v>2364</v>
      </c>
      <c r="D474" s="10" t="s">
        <v>1996</v>
      </c>
      <c r="E474" s="10" t="s">
        <v>2356</v>
      </c>
      <c r="F474" s="10" t="s">
        <v>187</v>
      </c>
    </row>
    <row r="475" spans="1:6" x14ac:dyDescent="0.35">
      <c r="A475" s="10" t="s">
        <v>258</v>
      </c>
      <c r="B475" s="10" t="s">
        <v>1609</v>
      </c>
      <c r="C475" s="10" t="s">
        <v>2364</v>
      </c>
      <c r="D475" s="10" t="s">
        <v>2365</v>
      </c>
      <c r="E475" s="10" t="s">
        <v>2366</v>
      </c>
      <c r="F475" s="10" t="s">
        <v>187</v>
      </c>
    </row>
    <row r="476" spans="1:6" x14ac:dyDescent="0.35">
      <c r="A476" s="10" t="s">
        <v>258</v>
      </c>
      <c r="B476" s="10" t="s">
        <v>1609</v>
      </c>
      <c r="C476" s="10" t="s">
        <v>2364</v>
      </c>
      <c r="D476" s="10" t="s">
        <v>2367</v>
      </c>
      <c r="E476" s="10" t="s">
        <v>2368</v>
      </c>
      <c r="F476" s="10" t="s">
        <v>187</v>
      </c>
    </row>
    <row r="477" spans="1:6" x14ac:dyDescent="0.35">
      <c r="A477" s="10" t="s">
        <v>258</v>
      </c>
      <c r="B477" s="10" t="s">
        <v>1609</v>
      </c>
      <c r="C477" s="10" t="s">
        <v>2364</v>
      </c>
      <c r="D477" s="10" t="s">
        <v>2359</v>
      </c>
      <c r="E477" s="10" t="s">
        <v>2360</v>
      </c>
      <c r="F477" s="10" t="s">
        <v>187</v>
      </c>
    </row>
    <row r="478" spans="1:6" x14ac:dyDescent="0.35">
      <c r="A478" s="10" t="s">
        <v>258</v>
      </c>
      <c r="B478" s="10" t="s">
        <v>1609</v>
      </c>
      <c r="C478" s="10" t="s">
        <v>2364</v>
      </c>
      <c r="D478" s="10" t="s">
        <v>2369</v>
      </c>
      <c r="E478" s="10" t="s">
        <v>2370</v>
      </c>
      <c r="F478" s="10" t="s">
        <v>187</v>
      </c>
    </row>
    <row r="479" spans="1:6" x14ac:dyDescent="0.35">
      <c r="A479" s="10" t="s">
        <v>258</v>
      </c>
      <c r="B479" s="10" t="s">
        <v>1609</v>
      </c>
      <c r="C479" s="10" t="s">
        <v>2364</v>
      </c>
      <c r="D479" s="10" t="s">
        <v>2371</v>
      </c>
      <c r="E479" s="10" t="s">
        <v>2372</v>
      </c>
      <c r="F479" s="10" t="s">
        <v>187</v>
      </c>
    </row>
    <row r="480" spans="1:6" x14ac:dyDescent="0.35">
      <c r="A480" s="10" t="s">
        <v>258</v>
      </c>
      <c r="B480" s="10" t="s">
        <v>1609</v>
      </c>
      <c r="C480" s="10" t="s">
        <v>2364</v>
      </c>
      <c r="D480" s="10" t="s">
        <v>2373</v>
      </c>
      <c r="E480" s="10" t="s">
        <v>2374</v>
      </c>
      <c r="F480" s="10" t="s">
        <v>187</v>
      </c>
    </row>
    <row r="481" spans="1:6" x14ac:dyDescent="0.35">
      <c r="A481" s="10" t="s">
        <v>258</v>
      </c>
      <c r="B481" s="10" t="s">
        <v>1609</v>
      </c>
      <c r="C481" s="10" t="s">
        <v>2364</v>
      </c>
      <c r="D481" s="10" t="s">
        <v>2375</v>
      </c>
      <c r="E481" s="10" t="s">
        <v>2376</v>
      </c>
      <c r="F481" s="10" t="s">
        <v>187</v>
      </c>
    </row>
    <row r="482" spans="1:6" x14ac:dyDescent="0.35">
      <c r="A482" s="10" t="s">
        <v>258</v>
      </c>
      <c r="B482" s="10" t="s">
        <v>1609</v>
      </c>
      <c r="C482" s="10" t="s">
        <v>2364</v>
      </c>
      <c r="D482" s="10" t="s">
        <v>2377</v>
      </c>
      <c r="E482" s="10" t="s">
        <v>2378</v>
      </c>
      <c r="F482" s="10" t="s">
        <v>187</v>
      </c>
    </row>
    <row r="483" spans="1:6" x14ac:dyDescent="0.35">
      <c r="A483" s="10" t="s">
        <v>258</v>
      </c>
      <c r="B483" s="10" t="s">
        <v>1609</v>
      </c>
      <c r="C483" s="10" t="s">
        <v>2364</v>
      </c>
      <c r="D483" s="10" t="s">
        <v>2379</v>
      </c>
      <c r="E483" s="10" t="s">
        <v>2380</v>
      </c>
      <c r="F483" s="10" t="s">
        <v>187</v>
      </c>
    </row>
    <row r="484" spans="1:6" x14ac:dyDescent="0.35">
      <c r="A484" s="10" t="s">
        <v>258</v>
      </c>
      <c r="B484" s="10" t="s">
        <v>1609</v>
      </c>
      <c r="C484" s="10" t="s">
        <v>2364</v>
      </c>
      <c r="D484" s="10" t="s">
        <v>2381</v>
      </c>
      <c r="E484" s="10" t="s">
        <v>2382</v>
      </c>
      <c r="F484" s="10" t="s">
        <v>187</v>
      </c>
    </row>
    <row r="485" spans="1:6" x14ac:dyDescent="0.35">
      <c r="A485" s="10" t="s">
        <v>258</v>
      </c>
      <c r="B485" s="10" t="s">
        <v>1609</v>
      </c>
      <c r="C485" s="10" t="s">
        <v>2364</v>
      </c>
      <c r="D485" s="10" t="s">
        <v>2383</v>
      </c>
      <c r="E485" s="10" t="s">
        <v>2384</v>
      </c>
      <c r="F485" s="10" t="s">
        <v>187</v>
      </c>
    </row>
    <row r="486" spans="1:6" x14ac:dyDescent="0.35">
      <c r="A486" s="10" t="s">
        <v>258</v>
      </c>
      <c r="B486" s="10" t="s">
        <v>1609</v>
      </c>
      <c r="C486" s="10" t="s">
        <v>2364</v>
      </c>
      <c r="D486" s="10" t="s">
        <v>2357</v>
      </c>
      <c r="E486" s="10" t="s">
        <v>2358</v>
      </c>
      <c r="F486" s="10" t="s">
        <v>187</v>
      </c>
    </row>
    <row r="487" spans="1:6" x14ac:dyDescent="0.35">
      <c r="A487" s="10" t="s">
        <v>258</v>
      </c>
      <c r="B487" s="10" t="s">
        <v>1609</v>
      </c>
      <c r="C487" s="10" t="s">
        <v>2364</v>
      </c>
      <c r="D487" s="10" t="s">
        <v>2385</v>
      </c>
      <c r="E487" s="10" t="s">
        <v>2386</v>
      </c>
      <c r="F487" s="10" t="s">
        <v>187</v>
      </c>
    </row>
    <row r="488" spans="1:6" x14ac:dyDescent="0.35">
      <c r="A488" s="10" t="s">
        <v>258</v>
      </c>
      <c r="B488" s="10" t="s">
        <v>1609</v>
      </c>
      <c r="C488" s="10" t="s">
        <v>2364</v>
      </c>
      <c r="D488" s="10" t="s">
        <v>2387</v>
      </c>
      <c r="E488" s="10" t="s">
        <v>2388</v>
      </c>
      <c r="F488" s="10" t="s">
        <v>187</v>
      </c>
    </row>
    <row r="489" spans="1:6" x14ac:dyDescent="0.35">
      <c r="A489" s="10" t="s">
        <v>258</v>
      </c>
      <c r="B489" s="10" t="s">
        <v>1609</v>
      </c>
      <c r="C489" s="10" t="s">
        <v>2389</v>
      </c>
      <c r="D489" s="10" t="s">
        <v>2390</v>
      </c>
      <c r="E489" s="10" t="s">
        <v>2391</v>
      </c>
      <c r="F489" s="10" t="s">
        <v>187</v>
      </c>
    </row>
    <row r="490" spans="1:6" x14ac:dyDescent="0.35">
      <c r="A490" s="10" t="s">
        <v>258</v>
      </c>
      <c r="B490" s="10" t="s">
        <v>1609</v>
      </c>
      <c r="C490" s="10" t="s">
        <v>2389</v>
      </c>
      <c r="D490" s="10" t="s">
        <v>2392</v>
      </c>
      <c r="E490" s="10" t="s">
        <v>2393</v>
      </c>
      <c r="F490" s="10" t="s">
        <v>187</v>
      </c>
    </row>
    <row r="491" spans="1:6" x14ac:dyDescent="0.35">
      <c r="A491" s="10" t="s">
        <v>258</v>
      </c>
      <c r="B491" s="10" t="s">
        <v>1609</v>
      </c>
      <c r="C491" s="10" t="s">
        <v>2394</v>
      </c>
      <c r="D491" s="10" t="s">
        <v>1996</v>
      </c>
      <c r="E491" s="10" t="s">
        <v>2356</v>
      </c>
      <c r="F491" s="10" t="s">
        <v>187</v>
      </c>
    </row>
    <row r="492" spans="1:6" x14ac:dyDescent="0.35">
      <c r="A492" s="10" t="s">
        <v>258</v>
      </c>
      <c r="B492" s="10" t="s">
        <v>1609</v>
      </c>
      <c r="C492" s="10" t="s">
        <v>2394</v>
      </c>
      <c r="D492" s="10" t="s">
        <v>1998</v>
      </c>
      <c r="E492" s="10" t="s">
        <v>2395</v>
      </c>
      <c r="F492" s="10" t="s">
        <v>187</v>
      </c>
    </row>
    <row r="493" spans="1:6" x14ac:dyDescent="0.35">
      <c r="A493" s="10" t="s">
        <v>258</v>
      </c>
      <c r="B493" s="10" t="s">
        <v>1609</v>
      </c>
      <c r="C493" s="10" t="s">
        <v>2394</v>
      </c>
      <c r="D493" s="10" t="s">
        <v>2396</v>
      </c>
      <c r="E493" s="10" t="s">
        <v>2397</v>
      </c>
      <c r="F493" s="10" t="s">
        <v>187</v>
      </c>
    </row>
    <row r="494" spans="1:6" x14ac:dyDescent="0.35">
      <c r="A494" s="10" t="s">
        <v>258</v>
      </c>
      <c r="B494" s="10" t="s">
        <v>1609</v>
      </c>
      <c r="C494" s="10" t="s">
        <v>2394</v>
      </c>
      <c r="D494" s="10" t="s">
        <v>2357</v>
      </c>
      <c r="E494" s="10" t="s">
        <v>2358</v>
      </c>
      <c r="F494" s="10" t="s">
        <v>187</v>
      </c>
    </row>
    <row r="495" spans="1:6" x14ac:dyDescent="0.35">
      <c r="A495" s="10" t="s">
        <v>258</v>
      </c>
      <c r="B495" s="10" t="s">
        <v>1609</v>
      </c>
      <c r="C495" s="10" t="s">
        <v>2394</v>
      </c>
      <c r="D495" s="10" t="s">
        <v>2398</v>
      </c>
      <c r="E495" s="10" t="s">
        <v>2399</v>
      </c>
      <c r="F495" s="10" t="s">
        <v>187</v>
      </c>
    </row>
    <row r="496" spans="1:6" x14ac:dyDescent="0.35">
      <c r="A496" s="10" t="s">
        <v>258</v>
      </c>
      <c r="B496" s="10" t="s">
        <v>1609</v>
      </c>
      <c r="C496" s="10" t="s">
        <v>2394</v>
      </c>
      <c r="D496" s="10" t="s">
        <v>2400</v>
      </c>
      <c r="E496" s="10" t="s">
        <v>2401</v>
      </c>
      <c r="F496" s="10" t="s">
        <v>187</v>
      </c>
    </row>
    <row r="497" spans="1:6" x14ac:dyDescent="0.35">
      <c r="A497" s="10" t="s">
        <v>258</v>
      </c>
      <c r="B497" s="10" t="s">
        <v>1609</v>
      </c>
      <c r="C497" s="10" t="s">
        <v>2394</v>
      </c>
      <c r="D497" s="10" t="s">
        <v>2402</v>
      </c>
      <c r="E497" s="10" t="s">
        <v>2403</v>
      </c>
      <c r="F497" s="10" t="s">
        <v>187</v>
      </c>
    </row>
    <row r="498" spans="1:6" x14ac:dyDescent="0.35">
      <c r="A498" s="10" t="s">
        <v>258</v>
      </c>
      <c r="B498" s="10" t="s">
        <v>1650</v>
      </c>
      <c r="C498" s="10" t="s">
        <v>2404</v>
      </c>
      <c r="D498" s="10" t="s">
        <v>1996</v>
      </c>
      <c r="E498" s="10" t="s">
        <v>2405</v>
      </c>
      <c r="F498" s="10" t="s">
        <v>187</v>
      </c>
    </row>
    <row r="499" spans="1:6" x14ac:dyDescent="0.35">
      <c r="A499" s="10" t="s">
        <v>258</v>
      </c>
      <c r="B499" s="10" t="s">
        <v>1650</v>
      </c>
      <c r="C499" s="10" t="s">
        <v>2404</v>
      </c>
      <c r="D499" s="10" t="s">
        <v>2357</v>
      </c>
      <c r="E499" s="10" t="s">
        <v>2406</v>
      </c>
      <c r="F499" s="10" t="s">
        <v>187</v>
      </c>
    </row>
    <row r="500" spans="1:6" x14ac:dyDescent="0.35">
      <c r="A500" s="10" t="s">
        <v>258</v>
      </c>
      <c r="B500" s="10" t="s">
        <v>1650</v>
      </c>
      <c r="C500" s="10" t="s">
        <v>2404</v>
      </c>
      <c r="D500" s="10" t="s">
        <v>2357</v>
      </c>
      <c r="E500" s="10" t="s">
        <v>2407</v>
      </c>
      <c r="F500" s="10" t="s">
        <v>187</v>
      </c>
    </row>
    <row r="501" spans="1:6" x14ac:dyDescent="0.35">
      <c r="A501" s="10" t="s">
        <v>258</v>
      </c>
      <c r="B501" s="10" t="s">
        <v>1650</v>
      </c>
      <c r="C501" s="10" t="s">
        <v>2404</v>
      </c>
      <c r="D501" s="10" t="s">
        <v>2359</v>
      </c>
      <c r="E501" s="10" t="s">
        <v>2408</v>
      </c>
      <c r="F501" s="10" t="s">
        <v>187</v>
      </c>
    </row>
    <row r="502" spans="1:6" ht="25" x14ac:dyDescent="0.35">
      <c r="A502" s="10" t="s">
        <v>258</v>
      </c>
      <c r="B502" s="10" t="s">
        <v>1650</v>
      </c>
      <c r="C502" s="10" t="s">
        <v>2409</v>
      </c>
      <c r="D502" s="10" t="s">
        <v>2410</v>
      </c>
      <c r="E502" s="10" t="s">
        <v>2411</v>
      </c>
      <c r="F502" s="10" t="s">
        <v>187</v>
      </c>
    </row>
    <row r="503" spans="1:6" x14ac:dyDescent="0.35">
      <c r="A503" s="10" t="s">
        <v>258</v>
      </c>
      <c r="B503" s="10" t="s">
        <v>1650</v>
      </c>
      <c r="C503" s="10" t="s">
        <v>2409</v>
      </c>
      <c r="D503" s="10" t="s">
        <v>2412</v>
      </c>
      <c r="E503" s="10" t="s">
        <v>2413</v>
      </c>
      <c r="F503" s="10" t="s">
        <v>187</v>
      </c>
    </row>
    <row r="504" spans="1:6" x14ac:dyDescent="0.35">
      <c r="A504" s="10" t="s">
        <v>258</v>
      </c>
      <c r="B504" s="10" t="s">
        <v>1650</v>
      </c>
      <c r="C504" s="10" t="s">
        <v>2414</v>
      </c>
      <c r="D504" s="10" t="s">
        <v>2415</v>
      </c>
      <c r="E504" s="10" t="s">
        <v>2416</v>
      </c>
      <c r="F504" s="10" t="s">
        <v>187</v>
      </c>
    </row>
    <row r="505" spans="1:6" x14ac:dyDescent="0.35">
      <c r="A505" s="10" t="s">
        <v>258</v>
      </c>
      <c r="B505" s="10" t="s">
        <v>1650</v>
      </c>
      <c r="C505" s="10" t="s">
        <v>2417</v>
      </c>
      <c r="D505" s="10" t="s">
        <v>2418</v>
      </c>
      <c r="E505" s="10" t="s">
        <v>2419</v>
      </c>
      <c r="F505" s="10" t="s">
        <v>187</v>
      </c>
    </row>
    <row r="506" spans="1:6" x14ac:dyDescent="0.35">
      <c r="A506" s="10" t="s">
        <v>258</v>
      </c>
      <c r="B506" s="10" t="s">
        <v>1650</v>
      </c>
      <c r="C506" s="10" t="s">
        <v>2420</v>
      </c>
      <c r="D506" s="10" t="s">
        <v>2390</v>
      </c>
      <c r="E506" s="10" t="s">
        <v>2421</v>
      </c>
      <c r="F506" s="10" t="s">
        <v>187</v>
      </c>
    </row>
    <row r="507" spans="1:6" x14ac:dyDescent="0.35">
      <c r="A507" s="10" t="s">
        <v>258</v>
      </c>
      <c r="B507" s="10" t="s">
        <v>1650</v>
      </c>
      <c r="C507" s="10" t="s">
        <v>2420</v>
      </c>
      <c r="D507" s="10" t="s">
        <v>2392</v>
      </c>
      <c r="E507" s="10" t="s">
        <v>2422</v>
      </c>
      <c r="F507" s="10" t="s">
        <v>187</v>
      </c>
    </row>
    <row r="508" spans="1:6" x14ac:dyDescent="0.35">
      <c r="A508" s="10" t="s">
        <v>258</v>
      </c>
      <c r="B508" s="10" t="s">
        <v>1650</v>
      </c>
      <c r="C508" s="10" t="s">
        <v>2420</v>
      </c>
      <c r="D508" s="10" t="s">
        <v>2423</v>
      </c>
      <c r="E508" s="10" t="s">
        <v>2424</v>
      </c>
      <c r="F508" s="10" t="s">
        <v>187</v>
      </c>
    </row>
    <row r="509" spans="1:6" x14ac:dyDescent="0.35">
      <c r="A509" s="10" t="s">
        <v>258</v>
      </c>
      <c r="B509" s="10" t="s">
        <v>1650</v>
      </c>
      <c r="C509" s="10" t="s">
        <v>268</v>
      </c>
      <c r="D509" s="10" t="s">
        <v>2425</v>
      </c>
      <c r="E509" s="10" t="s">
        <v>2426</v>
      </c>
      <c r="F509" s="10" t="s">
        <v>2427</v>
      </c>
    </row>
    <row r="510" spans="1:6" x14ac:dyDescent="0.35">
      <c r="A510" s="10" t="s">
        <v>258</v>
      </c>
      <c r="B510" s="10" t="s">
        <v>1650</v>
      </c>
      <c r="C510" s="10" t="s">
        <v>268</v>
      </c>
      <c r="D510" s="10" t="s">
        <v>2428</v>
      </c>
      <c r="E510" s="10" t="s">
        <v>2429</v>
      </c>
      <c r="F510" s="10" t="s">
        <v>2430</v>
      </c>
    </row>
    <row r="511" spans="1:6" x14ac:dyDescent="0.35">
      <c r="A511" s="10" t="s">
        <v>258</v>
      </c>
      <c r="B511" s="10" t="s">
        <v>1650</v>
      </c>
      <c r="C511" s="10" t="s">
        <v>1767</v>
      </c>
      <c r="D511" s="10" t="s">
        <v>1996</v>
      </c>
      <c r="E511" s="10" t="s">
        <v>2431</v>
      </c>
      <c r="F511" s="10" t="s">
        <v>187</v>
      </c>
    </row>
    <row r="512" spans="1:6" x14ac:dyDescent="0.35">
      <c r="A512" s="10" t="s">
        <v>258</v>
      </c>
      <c r="B512" s="10" t="s">
        <v>1650</v>
      </c>
      <c r="C512" s="10" t="s">
        <v>1767</v>
      </c>
      <c r="D512" s="10" t="s">
        <v>2432</v>
      </c>
      <c r="E512" s="10" t="s">
        <v>2433</v>
      </c>
      <c r="F512" s="10" t="s">
        <v>187</v>
      </c>
    </row>
    <row r="513" spans="1:6" x14ac:dyDescent="0.35">
      <c r="A513" s="10" t="s">
        <v>258</v>
      </c>
      <c r="B513" s="10" t="s">
        <v>1650</v>
      </c>
      <c r="C513" s="10" t="s">
        <v>1767</v>
      </c>
      <c r="D513" s="10" t="s">
        <v>2434</v>
      </c>
      <c r="E513" s="10" t="s">
        <v>2435</v>
      </c>
      <c r="F513" s="10" t="s">
        <v>187</v>
      </c>
    </row>
    <row r="514" spans="1:6" x14ac:dyDescent="0.35">
      <c r="A514" s="10" t="s">
        <v>258</v>
      </c>
      <c r="B514" s="10" t="s">
        <v>1650</v>
      </c>
      <c r="C514" s="10" t="s">
        <v>1767</v>
      </c>
      <c r="D514" s="10" t="s">
        <v>2367</v>
      </c>
      <c r="E514" s="10" t="s">
        <v>2436</v>
      </c>
      <c r="F514" s="10" t="s">
        <v>187</v>
      </c>
    </row>
    <row r="515" spans="1:6" x14ac:dyDescent="0.35">
      <c r="A515" s="10" t="s">
        <v>258</v>
      </c>
      <c r="B515" s="10" t="s">
        <v>1650</v>
      </c>
      <c r="C515" s="10" t="s">
        <v>1767</v>
      </c>
      <c r="D515" s="10" t="s">
        <v>2359</v>
      </c>
      <c r="E515" s="10" t="s">
        <v>2437</v>
      </c>
      <c r="F515" s="10" t="s">
        <v>187</v>
      </c>
    </row>
    <row r="516" spans="1:6" x14ac:dyDescent="0.35">
      <c r="A516" s="10" t="s">
        <v>258</v>
      </c>
      <c r="B516" s="10" t="s">
        <v>1650</v>
      </c>
      <c r="C516" s="10" t="s">
        <v>1767</v>
      </c>
      <c r="D516" s="10" t="s">
        <v>2359</v>
      </c>
      <c r="E516" s="10" t="s">
        <v>2438</v>
      </c>
      <c r="F516" s="10" t="s">
        <v>187</v>
      </c>
    </row>
    <row r="517" spans="1:6" x14ac:dyDescent="0.35">
      <c r="A517" s="10" t="s">
        <v>258</v>
      </c>
      <c r="B517" s="10" t="s">
        <v>1650</v>
      </c>
      <c r="C517" s="10" t="s">
        <v>1767</v>
      </c>
      <c r="D517" s="10" t="s">
        <v>2373</v>
      </c>
      <c r="E517" s="10" t="s">
        <v>2439</v>
      </c>
      <c r="F517" s="10" t="s">
        <v>187</v>
      </c>
    </row>
    <row r="518" spans="1:6" x14ac:dyDescent="0.35">
      <c r="A518" s="10" t="s">
        <v>258</v>
      </c>
      <c r="B518" s="10" t="s">
        <v>1650</v>
      </c>
      <c r="C518" s="10" t="s">
        <v>1767</v>
      </c>
      <c r="D518" s="10" t="s">
        <v>2440</v>
      </c>
      <c r="E518" s="10" t="s">
        <v>2441</v>
      </c>
      <c r="F518" s="10" t="s">
        <v>187</v>
      </c>
    </row>
    <row r="519" spans="1:6" x14ac:dyDescent="0.35">
      <c r="A519" s="10" t="s">
        <v>258</v>
      </c>
      <c r="B519" s="10" t="s">
        <v>1650</v>
      </c>
      <c r="C519" s="10" t="s">
        <v>1767</v>
      </c>
      <c r="D519" s="10" t="s">
        <v>2442</v>
      </c>
      <c r="E519" s="10" t="s">
        <v>2443</v>
      </c>
      <c r="F519" s="10" t="s">
        <v>187</v>
      </c>
    </row>
    <row r="520" spans="1:6" x14ac:dyDescent="0.35">
      <c r="A520" s="10" t="s">
        <v>258</v>
      </c>
      <c r="B520" s="10" t="s">
        <v>1650</v>
      </c>
      <c r="C520" s="10" t="s">
        <v>1767</v>
      </c>
      <c r="D520" s="10" t="s">
        <v>2444</v>
      </c>
      <c r="E520" s="10" t="s">
        <v>2445</v>
      </c>
      <c r="F520" s="10" t="s">
        <v>187</v>
      </c>
    </row>
    <row r="521" spans="1:6" x14ac:dyDescent="0.35">
      <c r="A521" s="10" t="s">
        <v>258</v>
      </c>
      <c r="B521" s="10" t="s">
        <v>1650</v>
      </c>
      <c r="C521" s="10" t="s">
        <v>1767</v>
      </c>
      <c r="D521" s="10" t="s">
        <v>2446</v>
      </c>
      <c r="E521" s="10" t="s">
        <v>2447</v>
      </c>
      <c r="F521" s="10" t="s">
        <v>187</v>
      </c>
    </row>
    <row r="522" spans="1:6" x14ac:dyDescent="0.35">
      <c r="A522" s="10" t="s">
        <v>258</v>
      </c>
      <c r="B522" s="10" t="s">
        <v>1650</v>
      </c>
      <c r="C522" s="10" t="s">
        <v>1767</v>
      </c>
      <c r="D522" s="10" t="s">
        <v>2383</v>
      </c>
      <c r="E522" s="10" t="s">
        <v>2448</v>
      </c>
      <c r="F522" s="10" t="s">
        <v>187</v>
      </c>
    </row>
    <row r="523" spans="1:6" x14ac:dyDescent="0.35">
      <c r="A523" s="10" t="s">
        <v>258</v>
      </c>
      <c r="B523" s="10" t="s">
        <v>1650</v>
      </c>
      <c r="C523" s="10" t="s">
        <v>1767</v>
      </c>
      <c r="D523" s="10" t="s">
        <v>2449</v>
      </c>
      <c r="E523" s="10" t="s">
        <v>2450</v>
      </c>
      <c r="F523" s="10" t="s">
        <v>187</v>
      </c>
    </row>
    <row r="524" spans="1:6" x14ac:dyDescent="0.35">
      <c r="A524" s="10" t="s">
        <v>258</v>
      </c>
      <c r="B524" s="10" t="s">
        <v>1650</v>
      </c>
      <c r="C524" s="10" t="s">
        <v>1767</v>
      </c>
      <c r="D524" s="10" t="s">
        <v>2379</v>
      </c>
      <c r="E524" s="10" t="s">
        <v>2451</v>
      </c>
      <c r="F524" s="10" t="s">
        <v>187</v>
      </c>
    </row>
    <row r="525" spans="1:6" x14ac:dyDescent="0.35">
      <c r="A525" s="10" t="s">
        <v>258</v>
      </c>
      <c r="B525" s="10" t="s">
        <v>1650</v>
      </c>
      <c r="C525" s="10" t="s">
        <v>1767</v>
      </c>
      <c r="D525" s="10" t="s">
        <v>2357</v>
      </c>
      <c r="E525" s="10" t="s">
        <v>2452</v>
      </c>
      <c r="F525" s="10" t="s">
        <v>187</v>
      </c>
    </row>
    <row r="526" spans="1:6" x14ac:dyDescent="0.35">
      <c r="A526" s="10" t="s">
        <v>258</v>
      </c>
      <c r="B526" s="10" t="s">
        <v>1650</v>
      </c>
      <c r="C526" s="10" t="s">
        <v>1767</v>
      </c>
      <c r="D526" s="10" t="s">
        <v>2453</v>
      </c>
      <c r="E526" s="10" t="s">
        <v>2454</v>
      </c>
      <c r="F526" s="10" t="s">
        <v>187</v>
      </c>
    </row>
    <row r="527" spans="1:6" x14ac:dyDescent="0.35">
      <c r="A527" s="10" t="s">
        <v>258</v>
      </c>
      <c r="B527" s="10" t="s">
        <v>1650</v>
      </c>
      <c r="C527" s="10" t="s">
        <v>1767</v>
      </c>
      <c r="D527" s="10" t="s">
        <v>2385</v>
      </c>
      <c r="E527" s="10" t="s">
        <v>2455</v>
      </c>
      <c r="F527" s="10" t="s">
        <v>187</v>
      </c>
    </row>
    <row r="528" spans="1:6" x14ac:dyDescent="0.35">
      <c r="A528" s="10" t="s">
        <v>258</v>
      </c>
      <c r="B528" s="10" t="s">
        <v>1650</v>
      </c>
      <c r="C528" s="10" t="s">
        <v>1767</v>
      </c>
      <c r="D528" s="10" t="s">
        <v>2387</v>
      </c>
      <c r="E528" s="10" t="s">
        <v>2456</v>
      </c>
      <c r="F528" s="10" t="s">
        <v>187</v>
      </c>
    </row>
    <row r="529" spans="1:6" x14ac:dyDescent="0.35">
      <c r="A529" s="10" t="s">
        <v>258</v>
      </c>
      <c r="B529" s="10" t="s">
        <v>1650</v>
      </c>
      <c r="C529" s="10" t="s">
        <v>1767</v>
      </c>
      <c r="D529" s="10" t="s">
        <v>2457</v>
      </c>
      <c r="E529" s="10" t="s">
        <v>2458</v>
      </c>
      <c r="F529" s="10" t="s">
        <v>187</v>
      </c>
    </row>
    <row r="530" spans="1:6" x14ac:dyDescent="0.35">
      <c r="A530" s="10" t="s">
        <v>258</v>
      </c>
      <c r="B530" s="10" t="s">
        <v>1650</v>
      </c>
      <c r="C530" s="10" t="s">
        <v>2459</v>
      </c>
      <c r="D530" s="10" t="s">
        <v>2460</v>
      </c>
      <c r="E530" s="10" t="s">
        <v>2461</v>
      </c>
      <c r="F530" s="10" t="s">
        <v>187</v>
      </c>
    </row>
    <row r="531" spans="1:6" x14ac:dyDescent="0.35">
      <c r="A531" s="10" t="s">
        <v>258</v>
      </c>
      <c r="B531" s="10" t="s">
        <v>1650</v>
      </c>
      <c r="C531" s="10" t="s">
        <v>2459</v>
      </c>
      <c r="D531" s="10" t="s">
        <v>2462</v>
      </c>
      <c r="E531" s="10" t="s">
        <v>2463</v>
      </c>
      <c r="F531" s="10" t="s">
        <v>187</v>
      </c>
    </row>
    <row r="532" spans="1:6" x14ac:dyDescent="0.35">
      <c r="A532" s="10" t="s">
        <v>258</v>
      </c>
      <c r="B532" s="10" t="s">
        <v>1650</v>
      </c>
      <c r="C532" s="10" t="s">
        <v>2464</v>
      </c>
      <c r="D532" s="10" t="s">
        <v>1996</v>
      </c>
      <c r="E532" s="10" t="s">
        <v>2465</v>
      </c>
      <c r="F532" s="10" t="s">
        <v>187</v>
      </c>
    </row>
    <row r="533" spans="1:6" x14ac:dyDescent="0.35">
      <c r="A533" s="10" t="s">
        <v>258</v>
      </c>
      <c r="B533" s="10" t="s">
        <v>1650</v>
      </c>
      <c r="C533" s="10" t="s">
        <v>2464</v>
      </c>
      <c r="D533" s="10" t="s">
        <v>1998</v>
      </c>
      <c r="E533" s="10" t="s">
        <v>2466</v>
      </c>
      <c r="F533" s="10" t="s">
        <v>187</v>
      </c>
    </row>
    <row r="534" spans="1:6" x14ac:dyDescent="0.35">
      <c r="A534" s="10" t="s">
        <v>258</v>
      </c>
      <c r="B534" s="10" t="s">
        <v>1650</v>
      </c>
      <c r="C534" s="10" t="s">
        <v>2464</v>
      </c>
      <c r="D534" s="10" t="s">
        <v>2396</v>
      </c>
      <c r="E534" s="10" t="s">
        <v>2467</v>
      </c>
      <c r="F534" s="10" t="s">
        <v>187</v>
      </c>
    </row>
    <row r="535" spans="1:6" x14ac:dyDescent="0.35">
      <c r="A535" s="10" t="s">
        <v>258</v>
      </c>
      <c r="B535" s="10" t="s">
        <v>1650</v>
      </c>
      <c r="C535" s="10" t="s">
        <v>2464</v>
      </c>
      <c r="D535" s="10" t="s">
        <v>2357</v>
      </c>
      <c r="E535" s="10" t="s">
        <v>2468</v>
      </c>
      <c r="F535" s="10" t="s">
        <v>187</v>
      </c>
    </row>
    <row r="536" spans="1:6" x14ac:dyDescent="0.35">
      <c r="A536" s="10" t="s">
        <v>258</v>
      </c>
      <c r="B536" s="10" t="s">
        <v>1650</v>
      </c>
      <c r="C536" s="10" t="s">
        <v>2464</v>
      </c>
      <c r="D536" s="10" t="s">
        <v>2398</v>
      </c>
      <c r="E536" s="10" t="s">
        <v>2469</v>
      </c>
      <c r="F536" s="10" t="s">
        <v>187</v>
      </c>
    </row>
    <row r="537" spans="1:6" x14ac:dyDescent="0.35">
      <c r="A537" s="10" t="s">
        <v>258</v>
      </c>
      <c r="B537" s="10" t="s">
        <v>1650</v>
      </c>
      <c r="C537" s="10" t="s">
        <v>2464</v>
      </c>
      <c r="D537" s="10" t="s">
        <v>2400</v>
      </c>
      <c r="E537" s="10" t="s">
        <v>2470</v>
      </c>
      <c r="F537" s="10" t="s">
        <v>187</v>
      </c>
    </row>
    <row r="538" spans="1:6" x14ac:dyDescent="0.35">
      <c r="A538" s="10" t="s">
        <v>258</v>
      </c>
      <c r="B538" s="10" t="s">
        <v>1650</v>
      </c>
      <c r="C538" s="10" t="s">
        <v>2464</v>
      </c>
      <c r="D538" s="10" t="s">
        <v>2402</v>
      </c>
      <c r="E538" s="10" t="s">
        <v>2471</v>
      </c>
      <c r="F538" s="10" t="s">
        <v>187</v>
      </c>
    </row>
    <row r="539" spans="1:6" x14ac:dyDescent="0.35">
      <c r="A539" s="10" t="s">
        <v>258</v>
      </c>
      <c r="B539" s="10" t="s">
        <v>1650</v>
      </c>
      <c r="C539" s="10" t="s">
        <v>2464</v>
      </c>
      <c r="D539" s="10" t="s">
        <v>2472</v>
      </c>
      <c r="E539" s="10" t="s">
        <v>2473</v>
      </c>
      <c r="F539" s="10" t="s">
        <v>187</v>
      </c>
    </row>
    <row r="540" spans="1:6" x14ac:dyDescent="0.35">
      <c r="A540" s="10" t="s">
        <v>258</v>
      </c>
      <c r="B540" s="10" t="s">
        <v>1650</v>
      </c>
      <c r="C540" s="10" t="s">
        <v>2464</v>
      </c>
      <c r="D540" s="10" t="s">
        <v>2474</v>
      </c>
      <c r="E540" s="10" t="s">
        <v>2475</v>
      </c>
      <c r="F540" s="10" t="s">
        <v>187</v>
      </c>
    </row>
    <row r="541" spans="1:6" x14ac:dyDescent="0.35">
      <c r="A541" s="10" t="s">
        <v>258</v>
      </c>
      <c r="B541" s="10" t="s">
        <v>1650</v>
      </c>
      <c r="C541" s="10" t="s">
        <v>2464</v>
      </c>
      <c r="D541" s="10" t="s">
        <v>2476</v>
      </c>
      <c r="E541" s="10" t="s">
        <v>2477</v>
      </c>
      <c r="F541" s="10" t="s">
        <v>187</v>
      </c>
    </row>
    <row r="542" spans="1:6" x14ac:dyDescent="0.35">
      <c r="A542" s="10" t="s">
        <v>258</v>
      </c>
      <c r="B542" s="10" t="s">
        <v>1650</v>
      </c>
      <c r="C542" s="10" t="s">
        <v>2478</v>
      </c>
      <c r="D542" s="10" t="s">
        <v>2479</v>
      </c>
      <c r="E542" s="10" t="s">
        <v>2480</v>
      </c>
      <c r="F542" s="10" t="s">
        <v>187</v>
      </c>
    </row>
    <row r="543" spans="1:6" ht="25" x14ac:dyDescent="0.35">
      <c r="A543" s="10" t="s">
        <v>258</v>
      </c>
      <c r="B543" s="10" t="s">
        <v>1683</v>
      </c>
      <c r="C543" s="10" t="s">
        <v>2481</v>
      </c>
      <c r="D543" s="10" t="s">
        <v>1685</v>
      </c>
      <c r="E543" s="10" t="s">
        <v>1686</v>
      </c>
      <c r="F543" s="10" t="s">
        <v>187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J46"/>
  <sheetViews>
    <sheetView showGridLines="0" workbookViewId="0">
      <pane xSplit="2" ySplit="4" topLeftCell="C3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1" customWidth="1"/>
    <col min="3" max="3" width="44" customWidth="1"/>
    <col min="4" max="4" width="40" customWidth="1"/>
    <col min="5" max="5" width="7" customWidth="1"/>
    <col min="6" max="6" width="58" customWidth="1"/>
    <col min="7" max="7" width="12" customWidth="1"/>
    <col min="8" max="8" width="52" customWidth="1"/>
    <col min="9" max="9" width="42" customWidth="1"/>
    <col min="10" max="10" width="30" customWidth="1"/>
  </cols>
  <sheetData>
    <row r="1" spans="1:10" ht="20" x14ac:dyDescent="0.4">
      <c r="A1" s="1" t="s">
        <v>2482</v>
      </c>
    </row>
    <row r="2" spans="1:10" x14ac:dyDescent="0.35">
      <c r="A2" s="2" t="s">
        <v>2483</v>
      </c>
    </row>
    <row r="4" spans="1:10" ht="26" x14ac:dyDescent="0.35">
      <c r="A4" s="8" t="s">
        <v>273</v>
      </c>
      <c r="B4" s="8" t="s">
        <v>2484</v>
      </c>
      <c r="C4" s="8" t="s">
        <v>2485</v>
      </c>
      <c r="D4" s="8" t="s">
        <v>2486</v>
      </c>
      <c r="E4" s="8" t="s">
        <v>275</v>
      </c>
      <c r="F4" s="8" t="s">
        <v>2487</v>
      </c>
      <c r="G4" s="8" t="s">
        <v>2488</v>
      </c>
      <c r="H4" s="8" t="s">
        <v>2489</v>
      </c>
      <c r="I4" s="8" t="s">
        <v>2490</v>
      </c>
      <c r="J4" s="8" t="s">
        <v>2491</v>
      </c>
    </row>
    <row r="5" spans="1:10" ht="37.5" x14ac:dyDescent="0.35">
      <c r="A5" s="10" t="s">
        <v>2492</v>
      </c>
      <c r="B5" s="10" t="s">
        <v>2493</v>
      </c>
      <c r="C5" s="10" t="s">
        <v>2494</v>
      </c>
      <c r="D5" s="10" t="s">
        <v>2495</v>
      </c>
      <c r="E5" s="13" t="s">
        <v>289</v>
      </c>
      <c r="F5" s="10" t="s">
        <v>2496</v>
      </c>
      <c r="G5" s="10" t="s">
        <v>2497</v>
      </c>
      <c r="H5" s="10" t="s">
        <v>2498</v>
      </c>
      <c r="I5" s="10" t="s">
        <v>2499</v>
      </c>
      <c r="J5" s="10" t="s">
        <v>2500</v>
      </c>
    </row>
    <row r="6" spans="1:10" ht="25" x14ac:dyDescent="0.35">
      <c r="A6" s="10" t="s">
        <v>2501</v>
      </c>
      <c r="B6" s="10" t="s">
        <v>2502</v>
      </c>
      <c r="C6" s="10" t="s">
        <v>2503</v>
      </c>
      <c r="D6" s="10" t="s">
        <v>2504</v>
      </c>
      <c r="E6" s="13" t="s">
        <v>289</v>
      </c>
      <c r="F6" s="10" t="s">
        <v>2505</v>
      </c>
      <c r="G6" s="10" t="s">
        <v>2506</v>
      </c>
      <c r="H6" s="10" t="s">
        <v>2507</v>
      </c>
      <c r="I6" s="10" t="s">
        <v>2508</v>
      </c>
      <c r="J6" s="10" t="s">
        <v>2509</v>
      </c>
    </row>
    <row r="7" spans="1:10" ht="25" x14ac:dyDescent="0.35">
      <c r="A7" s="10" t="s">
        <v>2510</v>
      </c>
      <c r="B7" s="10" t="s">
        <v>2502</v>
      </c>
      <c r="C7" s="10" t="s">
        <v>2511</v>
      </c>
      <c r="D7" s="10" t="s">
        <v>2512</v>
      </c>
      <c r="E7" s="13" t="s">
        <v>289</v>
      </c>
      <c r="F7" s="10" t="s">
        <v>2513</v>
      </c>
      <c r="G7" s="10" t="s">
        <v>2506</v>
      </c>
      <c r="H7" s="10" t="s">
        <v>2514</v>
      </c>
      <c r="I7" s="10" t="s">
        <v>2515</v>
      </c>
      <c r="J7" s="10" t="s">
        <v>2516</v>
      </c>
    </row>
    <row r="8" spans="1:10" ht="25" x14ac:dyDescent="0.35">
      <c r="A8" s="10" t="s">
        <v>2517</v>
      </c>
      <c r="B8" s="10" t="s">
        <v>2502</v>
      </c>
      <c r="C8" s="10" t="s">
        <v>2518</v>
      </c>
      <c r="D8" s="10" t="s">
        <v>2519</v>
      </c>
      <c r="E8" s="16" t="s">
        <v>385</v>
      </c>
      <c r="F8" s="10" t="s">
        <v>2520</v>
      </c>
      <c r="G8" s="10" t="s">
        <v>2506</v>
      </c>
      <c r="H8" s="10" t="s">
        <v>2521</v>
      </c>
      <c r="I8" s="10" t="s">
        <v>2522</v>
      </c>
      <c r="J8" s="10" t="s">
        <v>2523</v>
      </c>
    </row>
    <row r="9" spans="1:10" ht="25" x14ac:dyDescent="0.35">
      <c r="A9" s="10" t="s">
        <v>2524</v>
      </c>
      <c r="B9" s="10" t="s">
        <v>2502</v>
      </c>
      <c r="C9" s="10" t="s">
        <v>2525</v>
      </c>
      <c r="D9" s="10" t="s">
        <v>2526</v>
      </c>
      <c r="E9" s="14" t="s">
        <v>326</v>
      </c>
      <c r="F9" s="10" t="s">
        <v>2527</v>
      </c>
      <c r="G9" s="10" t="s">
        <v>2528</v>
      </c>
      <c r="H9" s="10" t="s">
        <v>2529</v>
      </c>
      <c r="I9" s="10" t="s">
        <v>2530</v>
      </c>
      <c r="J9" s="10" t="s">
        <v>187</v>
      </c>
    </row>
    <row r="10" spans="1:10" ht="25" x14ac:dyDescent="0.35">
      <c r="A10" s="10" t="s">
        <v>2531</v>
      </c>
      <c r="B10" s="10" t="s">
        <v>2502</v>
      </c>
      <c r="C10" s="10" t="s">
        <v>2532</v>
      </c>
      <c r="D10" s="10" t="s">
        <v>2533</v>
      </c>
      <c r="E10" s="14" t="s">
        <v>326</v>
      </c>
      <c r="F10" s="10" t="s">
        <v>2534</v>
      </c>
      <c r="G10" s="10" t="s">
        <v>2528</v>
      </c>
      <c r="H10" s="10" t="s">
        <v>2535</v>
      </c>
      <c r="I10" s="10" t="s">
        <v>2536</v>
      </c>
      <c r="J10" s="10" t="s">
        <v>187</v>
      </c>
    </row>
    <row r="11" spans="1:10" ht="25" x14ac:dyDescent="0.35">
      <c r="A11" s="10" t="s">
        <v>2537</v>
      </c>
      <c r="B11" s="10" t="s">
        <v>2502</v>
      </c>
      <c r="C11" s="10" t="s">
        <v>2538</v>
      </c>
      <c r="D11" s="10" t="s">
        <v>2539</v>
      </c>
      <c r="E11" s="14" t="s">
        <v>326</v>
      </c>
      <c r="F11" s="10" t="s">
        <v>2540</v>
      </c>
      <c r="G11" s="10" t="s">
        <v>2528</v>
      </c>
      <c r="H11" s="10" t="s">
        <v>2541</v>
      </c>
      <c r="I11" s="10" t="s">
        <v>2542</v>
      </c>
      <c r="J11" s="10" t="s">
        <v>187</v>
      </c>
    </row>
    <row r="12" spans="1:10" ht="25" x14ac:dyDescent="0.35">
      <c r="A12" s="10" t="s">
        <v>2543</v>
      </c>
      <c r="B12" s="10" t="s">
        <v>2502</v>
      </c>
      <c r="C12" s="10" t="s">
        <v>2544</v>
      </c>
      <c r="D12" s="10" t="s">
        <v>2545</v>
      </c>
      <c r="E12" s="16" t="s">
        <v>385</v>
      </c>
      <c r="F12" s="10" t="s">
        <v>2546</v>
      </c>
      <c r="G12" s="10" t="s">
        <v>2528</v>
      </c>
      <c r="H12" s="10" t="s">
        <v>2547</v>
      </c>
      <c r="I12" s="10" t="s">
        <v>2548</v>
      </c>
      <c r="J12" s="10" t="s">
        <v>2549</v>
      </c>
    </row>
    <row r="13" spans="1:10" ht="25" x14ac:dyDescent="0.35">
      <c r="A13" s="10" t="s">
        <v>2550</v>
      </c>
      <c r="B13" s="10" t="s">
        <v>2502</v>
      </c>
      <c r="C13" s="10" t="s">
        <v>2551</v>
      </c>
      <c r="D13" s="10" t="s">
        <v>2552</v>
      </c>
      <c r="E13" s="14" t="s">
        <v>326</v>
      </c>
      <c r="F13" s="10" t="s">
        <v>2553</v>
      </c>
      <c r="G13" s="10" t="s">
        <v>2528</v>
      </c>
      <c r="H13" s="10" t="s">
        <v>2554</v>
      </c>
      <c r="I13" s="10" t="s">
        <v>2555</v>
      </c>
      <c r="J13" s="10" t="s">
        <v>2556</v>
      </c>
    </row>
    <row r="14" spans="1:10" ht="25" x14ac:dyDescent="0.35">
      <c r="A14" s="10" t="s">
        <v>2557</v>
      </c>
      <c r="B14" s="10" t="s">
        <v>2502</v>
      </c>
      <c r="C14" s="10" t="s">
        <v>2558</v>
      </c>
      <c r="D14" s="10" t="s">
        <v>2559</v>
      </c>
      <c r="E14" s="13" t="s">
        <v>289</v>
      </c>
      <c r="F14" s="10" t="s">
        <v>2560</v>
      </c>
      <c r="G14" s="10" t="s">
        <v>2561</v>
      </c>
      <c r="H14" s="10" t="s">
        <v>2562</v>
      </c>
      <c r="I14" s="10" t="s">
        <v>2563</v>
      </c>
      <c r="J14" s="10" t="s">
        <v>2564</v>
      </c>
    </row>
    <row r="15" spans="1:10" ht="25" x14ac:dyDescent="0.35">
      <c r="A15" s="10" t="s">
        <v>2565</v>
      </c>
      <c r="B15" s="10" t="s">
        <v>2502</v>
      </c>
      <c r="C15" s="10" t="s">
        <v>2566</v>
      </c>
      <c r="D15" s="10" t="s">
        <v>2567</v>
      </c>
      <c r="E15" s="13" t="s">
        <v>289</v>
      </c>
      <c r="F15" s="10" t="s">
        <v>2568</v>
      </c>
      <c r="G15" s="10" t="s">
        <v>2497</v>
      </c>
      <c r="H15" s="10" t="s">
        <v>2569</v>
      </c>
      <c r="I15" s="10" t="s">
        <v>2570</v>
      </c>
      <c r="J15" s="10" t="s">
        <v>2500</v>
      </c>
    </row>
    <row r="16" spans="1:10" ht="25" x14ac:dyDescent="0.35">
      <c r="A16" s="10" t="s">
        <v>2571</v>
      </c>
      <c r="B16" s="10" t="s">
        <v>2561</v>
      </c>
      <c r="C16" s="10" t="s">
        <v>2572</v>
      </c>
      <c r="D16" s="10" t="s">
        <v>2573</v>
      </c>
      <c r="E16" s="14" t="s">
        <v>326</v>
      </c>
      <c r="F16" s="10" t="s">
        <v>2574</v>
      </c>
      <c r="G16" s="10" t="s">
        <v>2502</v>
      </c>
      <c r="H16" s="10" t="s">
        <v>2575</v>
      </c>
      <c r="I16" s="10" t="s">
        <v>2576</v>
      </c>
      <c r="J16" s="10" t="s">
        <v>2577</v>
      </c>
    </row>
    <row r="17" spans="1:10" ht="25" x14ac:dyDescent="0.35">
      <c r="A17" s="10" t="s">
        <v>2578</v>
      </c>
      <c r="B17" s="10" t="s">
        <v>2561</v>
      </c>
      <c r="C17" s="10" t="s">
        <v>2579</v>
      </c>
      <c r="D17" s="10" t="s">
        <v>2580</v>
      </c>
      <c r="E17" s="14" t="s">
        <v>326</v>
      </c>
      <c r="F17" s="10" t="s">
        <v>2553</v>
      </c>
      <c r="G17" s="10" t="s">
        <v>2528</v>
      </c>
      <c r="H17" s="10" t="s">
        <v>2581</v>
      </c>
      <c r="I17" s="10" t="s">
        <v>2582</v>
      </c>
      <c r="J17" s="10" t="s">
        <v>2583</v>
      </c>
    </row>
    <row r="18" spans="1:10" ht="25" x14ac:dyDescent="0.35">
      <c r="A18" s="10" t="s">
        <v>2584</v>
      </c>
      <c r="B18" s="10" t="s">
        <v>2561</v>
      </c>
      <c r="C18" s="10" t="s">
        <v>2585</v>
      </c>
      <c r="D18" s="10" t="s">
        <v>2586</v>
      </c>
      <c r="E18" s="13" t="s">
        <v>289</v>
      </c>
      <c r="F18" s="10" t="s">
        <v>2587</v>
      </c>
      <c r="G18" s="10" t="s">
        <v>2506</v>
      </c>
      <c r="H18" s="10" t="s">
        <v>2588</v>
      </c>
      <c r="I18" s="10" t="s">
        <v>2589</v>
      </c>
      <c r="J18" s="10" t="s">
        <v>2590</v>
      </c>
    </row>
    <row r="19" spans="1:10" ht="25" x14ac:dyDescent="0.35">
      <c r="A19" s="10" t="s">
        <v>2591</v>
      </c>
      <c r="B19" s="10" t="s">
        <v>2561</v>
      </c>
      <c r="C19" s="10" t="s">
        <v>2592</v>
      </c>
      <c r="D19" s="10" t="s">
        <v>2567</v>
      </c>
      <c r="E19" s="13" t="s">
        <v>289</v>
      </c>
      <c r="F19" s="10" t="s">
        <v>2568</v>
      </c>
      <c r="G19" s="10" t="s">
        <v>2497</v>
      </c>
      <c r="H19" s="10" t="s">
        <v>2569</v>
      </c>
      <c r="I19" s="10" t="s">
        <v>2593</v>
      </c>
      <c r="J19" s="10" t="s">
        <v>2594</v>
      </c>
    </row>
    <row r="20" spans="1:10" ht="25" x14ac:dyDescent="0.35">
      <c r="A20" s="10" t="s">
        <v>2595</v>
      </c>
      <c r="B20" s="10" t="s">
        <v>2528</v>
      </c>
      <c r="C20" s="10" t="s">
        <v>2596</v>
      </c>
      <c r="D20" s="10" t="s">
        <v>2597</v>
      </c>
      <c r="E20" s="14" t="s">
        <v>326</v>
      </c>
      <c r="F20" s="10" t="s">
        <v>2598</v>
      </c>
      <c r="G20" s="10" t="s">
        <v>2502</v>
      </c>
      <c r="H20" s="10" t="s">
        <v>2599</v>
      </c>
      <c r="I20" s="10" t="s">
        <v>2600</v>
      </c>
      <c r="J20" s="10" t="s">
        <v>2601</v>
      </c>
    </row>
    <row r="21" spans="1:10" ht="25" x14ac:dyDescent="0.35">
      <c r="A21" s="10" t="s">
        <v>2602</v>
      </c>
      <c r="B21" s="10" t="s">
        <v>2528</v>
      </c>
      <c r="C21" s="10" t="s">
        <v>2596</v>
      </c>
      <c r="D21" s="10" t="s">
        <v>2603</v>
      </c>
      <c r="E21" s="14" t="s">
        <v>326</v>
      </c>
      <c r="F21" s="10" t="s">
        <v>2604</v>
      </c>
      <c r="G21" s="10" t="s">
        <v>2502</v>
      </c>
      <c r="H21" s="10" t="s">
        <v>2605</v>
      </c>
      <c r="I21" s="10" t="s">
        <v>2606</v>
      </c>
      <c r="J21" s="10" t="s">
        <v>187</v>
      </c>
    </row>
    <row r="22" spans="1:10" ht="25" x14ac:dyDescent="0.35">
      <c r="A22" s="10" t="s">
        <v>2607</v>
      </c>
      <c r="B22" s="10" t="s">
        <v>2528</v>
      </c>
      <c r="C22" s="10" t="s">
        <v>2608</v>
      </c>
      <c r="D22" s="10" t="s">
        <v>2609</v>
      </c>
      <c r="E22" s="13" t="s">
        <v>289</v>
      </c>
      <c r="F22" s="10" t="s">
        <v>2610</v>
      </c>
      <c r="G22" s="10" t="s">
        <v>2561</v>
      </c>
      <c r="H22" s="10" t="s">
        <v>2611</v>
      </c>
      <c r="I22" s="10" t="s">
        <v>2612</v>
      </c>
      <c r="J22" s="10" t="s">
        <v>2583</v>
      </c>
    </row>
    <row r="23" spans="1:10" ht="25" x14ac:dyDescent="0.35">
      <c r="A23" s="10" t="s">
        <v>2613</v>
      </c>
      <c r="B23" s="10" t="s">
        <v>2528</v>
      </c>
      <c r="C23" s="10" t="s">
        <v>2614</v>
      </c>
      <c r="D23" s="10" t="s">
        <v>2615</v>
      </c>
      <c r="E23" s="14" t="s">
        <v>326</v>
      </c>
      <c r="F23" s="10" t="s">
        <v>2616</v>
      </c>
      <c r="G23" s="10" t="s">
        <v>2502</v>
      </c>
      <c r="H23" s="10" t="s">
        <v>2617</v>
      </c>
      <c r="I23" s="10" t="s">
        <v>2618</v>
      </c>
      <c r="J23" s="10" t="s">
        <v>187</v>
      </c>
    </row>
    <row r="24" spans="1:10" ht="25" x14ac:dyDescent="0.35">
      <c r="A24" s="10" t="s">
        <v>2619</v>
      </c>
      <c r="B24" s="10" t="s">
        <v>2528</v>
      </c>
      <c r="C24" s="10" t="s">
        <v>2620</v>
      </c>
      <c r="D24" s="10" t="s">
        <v>2609</v>
      </c>
      <c r="E24" s="13" t="s">
        <v>289</v>
      </c>
      <c r="F24" s="10" t="s">
        <v>2610</v>
      </c>
      <c r="G24" s="10" t="s">
        <v>2561</v>
      </c>
      <c r="H24" s="10" t="s">
        <v>2621</v>
      </c>
      <c r="I24" s="10" t="s">
        <v>2622</v>
      </c>
      <c r="J24" s="10" t="s">
        <v>2564</v>
      </c>
    </row>
    <row r="25" spans="1:10" ht="25" x14ac:dyDescent="0.35">
      <c r="A25" s="10" t="s">
        <v>2623</v>
      </c>
      <c r="B25" s="10" t="s">
        <v>2528</v>
      </c>
      <c r="C25" s="10" t="s">
        <v>2620</v>
      </c>
      <c r="D25" s="10" t="s">
        <v>2624</v>
      </c>
      <c r="E25" s="13" t="s">
        <v>289</v>
      </c>
      <c r="F25" s="10" t="s">
        <v>2625</v>
      </c>
      <c r="G25" s="10" t="s">
        <v>2497</v>
      </c>
      <c r="H25" s="10" t="s">
        <v>2626</v>
      </c>
      <c r="I25" s="10" t="s">
        <v>2627</v>
      </c>
      <c r="J25" s="10" t="s">
        <v>2628</v>
      </c>
    </row>
    <row r="26" spans="1:10" ht="25" x14ac:dyDescent="0.35">
      <c r="A26" s="10" t="s">
        <v>2629</v>
      </c>
      <c r="B26" s="10" t="s">
        <v>2528</v>
      </c>
      <c r="C26" s="10" t="s">
        <v>2630</v>
      </c>
      <c r="D26" s="10" t="s">
        <v>2631</v>
      </c>
      <c r="E26" s="13" t="s">
        <v>289</v>
      </c>
      <c r="F26" s="10" t="s">
        <v>2632</v>
      </c>
      <c r="G26" s="10" t="s">
        <v>2502</v>
      </c>
      <c r="H26" s="10" t="s">
        <v>2633</v>
      </c>
      <c r="I26" s="10" t="s">
        <v>2634</v>
      </c>
      <c r="J26" s="10" t="s">
        <v>2500</v>
      </c>
    </row>
    <row r="27" spans="1:10" ht="25" x14ac:dyDescent="0.35">
      <c r="A27" s="10" t="s">
        <v>2635</v>
      </c>
      <c r="B27" s="10" t="s">
        <v>2528</v>
      </c>
      <c r="C27" s="10" t="s">
        <v>2636</v>
      </c>
      <c r="D27" s="10" t="s">
        <v>2637</v>
      </c>
      <c r="E27" s="14" t="s">
        <v>326</v>
      </c>
      <c r="F27" s="10" t="s">
        <v>2638</v>
      </c>
      <c r="G27" s="10" t="s">
        <v>2502</v>
      </c>
      <c r="H27" s="10" t="s">
        <v>2639</v>
      </c>
      <c r="I27" s="10" t="s">
        <v>2640</v>
      </c>
      <c r="J27" s="10" t="s">
        <v>2583</v>
      </c>
    </row>
    <row r="28" spans="1:10" x14ac:dyDescent="0.35">
      <c r="A28" s="10" t="s">
        <v>2641</v>
      </c>
      <c r="B28" s="10" t="s">
        <v>2528</v>
      </c>
      <c r="C28" s="10" t="s">
        <v>2642</v>
      </c>
      <c r="D28" s="10" t="s">
        <v>2573</v>
      </c>
      <c r="E28" s="14" t="s">
        <v>326</v>
      </c>
      <c r="F28" s="10" t="s">
        <v>2643</v>
      </c>
      <c r="G28" s="10" t="s">
        <v>2502</v>
      </c>
      <c r="H28" s="10" t="s">
        <v>2644</v>
      </c>
      <c r="I28" s="10" t="s">
        <v>2645</v>
      </c>
      <c r="J28" s="10" t="s">
        <v>2601</v>
      </c>
    </row>
    <row r="29" spans="1:10" ht="25" x14ac:dyDescent="0.35">
      <c r="A29" s="10" t="s">
        <v>2646</v>
      </c>
      <c r="B29" s="10" t="s">
        <v>2528</v>
      </c>
      <c r="C29" s="10" t="s">
        <v>2647</v>
      </c>
      <c r="D29" s="10" t="s">
        <v>2567</v>
      </c>
      <c r="E29" s="13" t="s">
        <v>289</v>
      </c>
      <c r="F29" s="10" t="s">
        <v>2568</v>
      </c>
      <c r="G29" s="10" t="s">
        <v>2497</v>
      </c>
      <c r="H29" s="10" t="s">
        <v>2569</v>
      </c>
      <c r="I29" s="10" t="s">
        <v>2648</v>
      </c>
      <c r="J29" s="10" t="s">
        <v>2594</v>
      </c>
    </row>
    <row r="30" spans="1:10" ht="25" x14ac:dyDescent="0.35">
      <c r="A30" s="10" t="s">
        <v>2649</v>
      </c>
      <c r="B30" s="10" t="s">
        <v>2506</v>
      </c>
      <c r="C30" s="10" t="s">
        <v>2650</v>
      </c>
      <c r="D30" s="10" t="s">
        <v>2651</v>
      </c>
      <c r="E30" s="14" t="s">
        <v>326</v>
      </c>
      <c r="F30" s="10" t="s">
        <v>2598</v>
      </c>
      <c r="G30" s="10" t="s">
        <v>2502</v>
      </c>
      <c r="H30" s="10" t="s">
        <v>2652</v>
      </c>
      <c r="I30" s="10" t="s">
        <v>2653</v>
      </c>
      <c r="J30" s="10" t="s">
        <v>2601</v>
      </c>
    </row>
    <row r="31" spans="1:10" x14ac:dyDescent="0.35">
      <c r="A31" s="10" t="s">
        <v>2654</v>
      </c>
      <c r="B31" s="10" t="s">
        <v>2506</v>
      </c>
      <c r="C31" s="10" t="s">
        <v>2655</v>
      </c>
      <c r="D31" s="10" t="s">
        <v>2656</v>
      </c>
      <c r="E31" s="14" t="s">
        <v>326</v>
      </c>
      <c r="F31" s="10" t="s">
        <v>2657</v>
      </c>
      <c r="G31" s="10" t="s">
        <v>2502</v>
      </c>
      <c r="H31" s="10" t="s">
        <v>2658</v>
      </c>
      <c r="I31" s="10" t="s">
        <v>2659</v>
      </c>
      <c r="J31" s="10" t="s">
        <v>187</v>
      </c>
    </row>
    <row r="32" spans="1:10" x14ac:dyDescent="0.35">
      <c r="A32" s="10" t="s">
        <v>2660</v>
      </c>
      <c r="B32" s="10" t="s">
        <v>2506</v>
      </c>
      <c r="C32" s="10" t="s">
        <v>2661</v>
      </c>
      <c r="D32" s="10" t="s">
        <v>2662</v>
      </c>
      <c r="E32" s="14" t="s">
        <v>326</v>
      </c>
      <c r="F32" s="10" t="s">
        <v>2643</v>
      </c>
      <c r="G32" s="10" t="s">
        <v>2502</v>
      </c>
      <c r="H32" s="10" t="s">
        <v>2644</v>
      </c>
      <c r="I32" s="10" t="s">
        <v>2663</v>
      </c>
      <c r="J32" s="10" t="s">
        <v>2601</v>
      </c>
    </row>
    <row r="33" spans="1:10" ht="25" x14ac:dyDescent="0.35">
      <c r="A33" s="10" t="s">
        <v>2664</v>
      </c>
      <c r="B33" s="10" t="s">
        <v>2506</v>
      </c>
      <c r="C33" s="10" t="s">
        <v>2665</v>
      </c>
      <c r="D33" s="10" t="s">
        <v>2666</v>
      </c>
      <c r="E33" s="14" t="s">
        <v>326</v>
      </c>
      <c r="F33" s="10" t="s">
        <v>2534</v>
      </c>
      <c r="G33" s="10" t="s">
        <v>2528</v>
      </c>
      <c r="H33" s="10" t="s">
        <v>2667</v>
      </c>
      <c r="I33" s="10" t="s">
        <v>2668</v>
      </c>
      <c r="J33" s="10" t="s">
        <v>2669</v>
      </c>
    </row>
    <row r="34" spans="1:10" ht="25" x14ac:dyDescent="0.35">
      <c r="A34" s="10" t="s">
        <v>2670</v>
      </c>
      <c r="B34" s="10" t="s">
        <v>2506</v>
      </c>
      <c r="C34" s="10" t="s">
        <v>2671</v>
      </c>
      <c r="D34" s="10" t="s">
        <v>2672</v>
      </c>
      <c r="E34" s="16" t="s">
        <v>385</v>
      </c>
      <c r="F34" s="10" t="s">
        <v>2673</v>
      </c>
      <c r="G34" s="10" t="s">
        <v>2528</v>
      </c>
      <c r="H34" s="10" t="s">
        <v>2674</v>
      </c>
      <c r="I34" s="10" t="s">
        <v>2675</v>
      </c>
      <c r="J34" s="10" t="s">
        <v>2583</v>
      </c>
    </row>
    <row r="35" spans="1:10" ht="25" x14ac:dyDescent="0.35">
      <c r="A35" s="10" t="s">
        <v>2676</v>
      </c>
      <c r="B35" s="10" t="s">
        <v>2506</v>
      </c>
      <c r="C35" s="10" t="s">
        <v>2677</v>
      </c>
      <c r="D35" s="10" t="s">
        <v>2678</v>
      </c>
      <c r="E35" s="14" t="s">
        <v>326</v>
      </c>
      <c r="F35" s="10" t="s">
        <v>2679</v>
      </c>
      <c r="G35" s="10" t="s">
        <v>2561</v>
      </c>
      <c r="H35" s="10" t="s">
        <v>2680</v>
      </c>
      <c r="I35" s="10" t="s">
        <v>2681</v>
      </c>
      <c r="J35" s="10" t="s">
        <v>2601</v>
      </c>
    </row>
    <row r="36" spans="1:10" ht="37.5" x14ac:dyDescent="0.35">
      <c r="A36" s="10" t="s">
        <v>2682</v>
      </c>
      <c r="B36" s="10" t="s">
        <v>2506</v>
      </c>
      <c r="C36" s="10" t="s">
        <v>2683</v>
      </c>
      <c r="D36" s="10" t="s">
        <v>2567</v>
      </c>
      <c r="E36" s="13" t="s">
        <v>289</v>
      </c>
      <c r="F36" s="10" t="s">
        <v>2568</v>
      </c>
      <c r="G36" s="10" t="s">
        <v>2497</v>
      </c>
      <c r="H36" s="10" t="s">
        <v>2569</v>
      </c>
      <c r="I36" s="10" t="s">
        <v>2684</v>
      </c>
      <c r="J36" s="10" t="s">
        <v>2594</v>
      </c>
    </row>
    <row r="39" spans="1:10" x14ac:dyDescent="0.35">
      <c r="A39" s="3" t="s">
        <v>2685</v>
      </c>
    </row>
    <row r="40" spans="1:10" ht="26" x14ac:dyDescent="0.35">
      <c r="A40" s="17"/>
      <c r="B40" s="8" t="s">
        <v>2686</v>
      </c>
      <c r="C40" s="8" t="s">
        <v>2493</v>
      </c>
      <c r="D40" s="8" t="s">
        <v>2502</v>
      </c>
      <c r="E40" s="8" t="s">
        <v>2561</v>
      </c>
      <c r="F40" s="8" t="s">
        <v>2528</v>
      </c>
      <c r="G40" s="8" t="s">
        <v>2506</v>
      </c>
      <c r="H40" s="8" t="s">
        <v>2497</v>
      </c>
    </row>
    <row r="41" spans="1:10" x14ac:dyDescent="0.35">
      <c r="B41" s="5" t="s">
        <v>2493</v>
      </c>
      <c r="C41" s="18">
        <f t="shared" ref="C41:H46" si="0">COUNTIFS($B$5:$B$36,$B41,$G$5:$G$36,C$40)</f>
        <v>0</v>
      </c>
      <c r="D41" s="18">
        <f t="shared" si="0"/>
        <v>0</v>
      </c>
      <c r="E41" s="18">
        <f t="shared" si="0"/>
        <v>0</v>
      </c>
      <c r="F41" s="18">
        <f t="shared" si="0"/>
        <v>0</v>
      </c>
      <c r="G41" s="18">
        <f t="shared" si="0"/>
        <v>0</v>
      </c>
      <c r="H41" s="18">
        <f t="shared" si="0"/>
        <v>1</v>
      </c>
    </row>
    <row r="42" spans="1:10" x14ac:dyDescent="0.35">
      <c r="B42" s="5" t="s">
        <v>2502</v>
      </c>
      <c r="C42" s="18">
        <f t="shared" si="0"/>
        <v>0</v>
      </c>
      <c r="D42" s="18">
        <f t="shared" si="0"/>
        <v>0</v>
      </c>
      <c r="E42" s="18">
        <f t="shared" si="0"/>
        <v>1</v>
      </c>
      <c r="F42" s="18">
        <f t="shared" si="0"/>
        <v>5</v>
      </c>
      <c r="G42" s="18">
        <f t="shared" si="0"/>
        <v>3</v>
      </c>
      <c r="H42" s="18">
        <f t="shared" si="0"/>
        <v>1</v>
      </c>
    </row>
    <row r="43" spans="1:10" x14ac:dyDescent="0.35">
      <c r="B43" s="5" t="s">
        <v>2561</v>
      </c>
      <c r="C43" s="18">
        <f t="shared" si="0"/>
        <v>0</v>
      </c>
      <c r="D43" s="18">
        <f t="shared" si="0"/>
        <v>1</v>
      </c>
      <c r="E43" s="18">
        <f t="shared" si="0"/>
        <v>0</v>
      </c>
      <c r="F43" s="18">
        <f t="shared" si="0"/>
        <v>1</v>
      </c>
      <c r="G43" s="18">
        <f t="shared" si="0"/>
        <v>1</v>
      </c>
      <c r="H43" s="18">
        <f t="shared" si="0"/>
        <v>1</v>
      </c>
    </row>
    <row r="44" spans="1:10" x14ac:dyDescent="0.35">
      <c r="B44" s="5" t="s">
        <v>2528</v>
      </c>
      <c r="C44" s="18">
        <f t="shared" si="0"/>
        <v>0</v>
      </c>
      <c r="D44" s="18">
        <f t="shared" si="0"/>
        <v>6</v>
      </c>
      <c r="E44" s="18">
        <f t="shared" si="0"/>
        <v>2</v>
      </c>
      <c r="F44" s="18">
        <f t="shared" si="0"/>
        <v>0</v>
      </c>
      <c r="G44" s="18">
        <f t="shared" si="0"/>
        <v>0</v>
      </c>
      <c r="H44" s="18">
        <f t="shared" si="0"/>
        <v>2</v>
      </c>
    </row>
    <row r="45" spans="1:10" x14ac:dyDescent="0.35">
      <c r="B45" s="5" t="s">
        <v>2506</v>
      </c>
      <c r="C45" s="18">
        <f t="shared" si="0"/>
        <v>0</v>
      </c>
      <c r="D45" s="18">
        <f t="shared" si="0"/>
        <v>3</v>
      </c>
      <c r="E45" s="18">
        <f t="shared" si="0"/>
        <v>1</v>
      </c>
      <c r="F45" s="18">
        <f t="shared" si="0"/>
        <v>2</v>
      </c>
      <c r="G45" s="18">
        <f t="shared" si="0"/>
        <v>0</v>
      </c>
      <c r="H45" s="18">
        <f t="shared" si="0"/>
        <v>1</v>
      </c>
    </row>
    <row r="46" spans="1:10" x14ac:dyDescent="0.35">
      <c r="B46" s="5" t="s">
        <v>2497</v>
      </c>
      <c r="C46" s="18">
        <f t="shared" si="0"/>
        <v>0</v>
      </c>
      <c r="D46" s="18">
        <f t="shared" si="0"/>
        <v>0</v>
      </c>
      <c r="E46" s="18">
        <f t="shared" si="0"/>
        <v>0</v>
      </c>
      <c r="F46" s="18">
        <f t="shared" si="0"/>
        <v>0</v>
      </c>
      <c r="G46" s="18">
        <f t="shared" si="0"/>
        <v>0</v>
      </c>
      <c r="H46" s="18">
        <f t="shared" si="0"/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E80"/>
  <sheetViews>
    <sheetView showGridLines="0" topLeftCell="A6" workbookViewId="0"/>
  </sheetViews>
  <sheetFormatPr defaultRowHeight="14.5" x14ac:dyDescent="0.35"/>
  <cols>
    <col min="1" max="1" width="24" customWidth="1"/>
    <col min="2" max="2" width="8" customWidth="1"/>
    <col min="3" max="4" width="30" customWidth="1"/>
    <col min="5" max="5" width="120" customWidth="1"/>
  </cols>
  <sheetData>
    <row r="1" spans="1:5" ht="20" x14ac:dyDescent="0.4">
      <c r="A1" s="1" t="s">
        <v>2687</v>
      </c>
    </row>
    <row r="4" spans="1:5" x14ac:dyDescent="0.35">
      <c r="A4" s="8" t="s">
        <v>164</v>
      </c>
      <c r="B4" s="8" t="s">
        <v>2688</v>
      </c>
      <c r="C4" s="8" t="s">
        <v>2689</v>
      </c>
      <c r="D4" s="8" t="s">
        <v>2690</v>
      </c>
      <c r="E4" s="8" t="s">
        <v>2691</v>
      </c>
    </row>
    <row r="5" spans="1:5" x14ac:dyDescent="0.35">
      <c r="A5" s="10" t="s">
        <v>195</v>
      </c>
      <c r="B5" s="10" t="s">
        <v>2692</v>
      </c>
      <c r="C5" s="10" t="s">
        <v>2693</v>
      </c>
      <c r="D5" s="10" t="s">
        <v>2694</v>
      </c>
      <c r="E5" s="10" t="s">
        <v>187</v>
      </c>
    </row>
    <row r="6" spans="1:5" x14ac:dyDescent="0.35">
      <c r="A6" s="12" t="s">
        <v>195</v>
      </c>
      <c r="B6" s="12" t="s">
        <v>2695</v>
      </c>
      <c r="C6" s="12" t="s">
        <v>187</v>
      </c>
      <c r="D6" s="12" t="s">
        <v>2696</v>
      </c>
      <c r="E6" s="12" t="s">
        <v>2697</v>
      </c>
    </row>
    <row r="7" spans="1:5" x14ac:dyDescent="0.35">
      <c r="A7" s="10" t="s">
        <v>195</v>
      </c>
      <c r="B7" s="10" t="s">
        <v>2692</v>
      </c>
      <c r="C7" s="10" t="s">
        <v>2698</v>
      </c>
      <c r="D7" s="10" t="s">
        <v>2699</v>
      </c>
      <c r="E7" s="10" t="s">
        <v>187</v>
      </c>
    </row>
    <row r="8" spans="1:5" x14ac:dyDescent="0.35">
      <c r="A8" s="12" t="s">
        <v>195</v>
      </c>
      <c r="B8" s="12" t="s">
        <v>2692</v>
      </c>
      <c r="C8" s="12" t="s">
        <v>2700</v>
      </c>
      <c r="D8" s="12" t="s">
        <v>2701</v>
      </c>
      <c r="E8" s="12" t="s">
        <v>187</v>
      </c>
    </row>
    <row r="9" spans="1:5" x14ac:dyDescent="0.35">
      <c r="A9" s="10" t="s">
        <v>195</v>
      </c>
      <c r="B9" s="10" t="s">
        <v>2692</v>
      </c>
      <c r="C9" s="10" t="s">
        <v>2702</v>
      </c>
      <c r="D9" s="10" t="s">
        <v>2703</v>
      </c>
      <c r="E9" s="10" t="s">
        <v>187</v>
      </c>
    </row>
    <row r="10" spans="1:5" x14ac:dyDescent="0.35">
      <c r="A10" s="12" t="s">
        <v>195</v>
      </c>
      <c r="B10" s="12" t="s">
        <v>2692</v>
      </c>
      <c r="C10" s="12" t="s">
        <v>2704</v>
      </c>
      <c r="D10" s="12" t="s">
        <v>2705</v>
      </c>
      <c r="E10" s="12" t="s">
        <v>187</v>
      </c>
    </row>
    <row r="11" spans="1:5" x14ac:dyDescent="0.35">
      <c r="A11" s="10" t="s">
        <v>195</v>
      </c>
      <c r="B11" s="10" t="s">
        <v>2692</v>
      </c>
      <c r="C11" s="10" t="s">
        <v>1621</v>
      </c>
      <c r="D11" s="10" t="s">
        <v>2706</v>
      </c>
      <c r="E11" s="10" t="s">
        <v>187</v>
      </c>
    </row>
    <row r="12" spans="1:5" x14ac:dyDescent="0.35">
      <c r="A12" s="12" t="s">
        <v>195</v>
      </c>
      <c r="B12" s="12" t="s">
        <v>2692</v>
      </c>
      <c r="C12" s="12" t="s">
        <v>2707</v>
      </c>
      <c r="D12" s="12" t="s">
        <v>2708</v>
      </c>
      <c r="E12" s="12" t="s">
        <v>187</v>
      </c>
    </row>
    <row r="13" spans="1:5" x14ac:dyDescent="0.35">
      <c r="A13" s="10" t="s">
        <v>195</v>
      </c>
      <c r="B13" s="10" t="s">
        <v>2692</v>
      </c>
      <c r="C13" s="10" t="s">
        <v>2709</v>
      </c>
      <c r="D13" s="10" t="s">
        <v>2710</v>
      </c>
      <c r="E13" s="10" t="s">
        <v>187</v>
      </c>
    </row>
    <row r="14" spans="1:5" x14ac:dyDescent="0.35">
      <c r="A14" s="12" t="s">
        <v>195</v>
      </c>
      <c r="B14" s="12" t="s">
        <v>2692</v>
      </c>
      <c r="C14" s="12" t="s">
        <v>2711</v>
      </c>
      <c r="D14" s="12" t="s">
        <v>2712</v>
      </c>
      <c r="E14" s="12" t="s">
        <v>187</v>
      </c>
    </row>
    <row r="15" spans="1:5" x14ac:dyDescent="0.35">
      <c r="A15" s="10" t="s">
        <v>195</v>
      </c>
      <c r="B15" s="10" t="s">
        <v>2695</v>
      </c>
      <c r="C15" s="10" t="s">
        <v>187</v>
      </c>
      <c r="D15" s="10" t="s">
        <v>2713</v>
      </c>
      <c r="E15" s="10" t="s">
        <v>2714</v>
      </c>
    </row>
    <row r="16" spans="1:5" x14ac:dyDescent="0.35">
      <c r="A16" s="12" t="s">
        <v>207</v>
      </c>
      <c r="B16" s="12" t="s">
        <v>2695</v>
      </c>
      <c r="C16" s="12" t="s">
        <v>187</v>
      </c>
      <c r="D16" s="12" t="s">
        <v>2715</v>
      </c>
      <c r="E16" s="12" t="s">
        <v>2716</v>
      </c>
    </row>
    <row r="17" spans="1:5" x14ac:dyDescent="0.35">
      <c r="A17" s="10" t="s">
        <v>207</v>
      </c>
      <c r="B17" s="10" t="s">
        <v>2695</v>
      </c>
      <c r="C17" s="10" t="s">
        <v>187</v>
      </c>
      <c r="D17" s="10" t="s">
        <v>2717</v>
      </c>
      <c r="E17" s="10" t="s">
        <v>2718</v>
      </c>
    </row>
    <row r="18" spans="1:5" x14ac:dyDescent="0.35">
      <c r="A18" s="12" t="s">
        <v>207</v>
      </c>
      <c r="B18" s="12" t="s">
        <v>2692</v>
      </c>
      <c r="C18" s="12" t="s">
        <v>2719</v>
      </c>
      <c r="D18" s="12" t="s">
        <v>2720</v>
      </c>
      <c r="E18" s="12" t="s">
        <v>187</v>
      </c>
    </row>
    <row r="19" spans="1:5" x14ac:dyDescent="0.35">
      <c r="A19" s="10" t="s">
        <v>207</v>
      </c>
      <c r="B19" s="10" t="s">
        <v>2695</v>
      </c>
      <c r="C19" s="10" t="s">
        <v>187</v>
      </c>
      <c r="D19" s="10" t="s">
        <v>2721</v>
      </c>
      <c r="E19" s="10" t="s">
        <v>2722</v>
      </c>
    </row>
    <row r="20" spans="1:5" x14ac:dyDescent="0.35">
      <c r="A20" s="12" t="s">
        <v>207</v>
      </c>
      <c r="B20" s="12" t="s">
        <v>2695</v>
      </c>
      <c r="C20" s="12" t="s">
        <v>187</v>
      </c>
      <c r="D20" s="12" t="s">
        <v>2723</v>
      </c>
      <c r="E20" s="12" t="s">
        <v>2724</v>
      </c>
    </row>
    <row r="21" spans="1:5" x14ac:dyDescent="0.35">
      <c r="A21" s="10" t="s">
        <v>207</v>
      </c>
      <c r="B21" s="10" t="s">
        <v>2695</v>
      </c>
      <c r="C21" s="10" t="s">
        <v>187</v>
      </c>
      <c r="D21" s="10" t="s">
        <v>2725</v>
      </c>
      <c r="E21" s="10" t="s">
        <v>2726</v>
      </c>
    </row>
    <row r="22" spans="1:5" x14ac:dyDescent="0.35">
      <c r="A22" s="12" t="s">
        <v>207</v>
      </c>
      <c r="B22" s="12" t="s">
        <v>2692</v>
      </c>
      <c r="C22" s="12" t="s">
        <v>2727</v>
      </c>
      <c r="D22" s="12" t="s">
        <v>2728</v>
      </c>
      <c r="E22" s="12" t="s">
        <v>187</v>
      </c>
    </row>
    <row r="23" spans="1:5" x14ac:dyDescent="0.35">
      <c r="A23" s="10" t="s">
        <v>207</v>
      </c>
      <c r="B23" s="10" t="s">
        <v>2695</v>
      </c>
      <c r="C23" s="10" t="s">
        <v>187</v>
      </c>
      <c r="D23" s="10" t="s">
        <v>2729</v>
      </c>
      <c r="E23" s="10" t="s">
        <v>2730</v>
      </c>
    </row>
    <row r="24" spans="1:5" x14ac:dyDescent="0.35">
      <c r="A24" s="12" t="s">
        <v>207</v>
      </c>
      <c r="B24" s="12" t="s">
        <v>2692</v>
      </c>
      <c r="C24" s="12" t="s">
        <v>2731</v>
      </c>
      <c r="D24" s="12" t="s">
        <v>2732</v>
      </c>
      <c r="E24" s="12" t="s">
        <v>187</v>
      </c>
    </row>
    <row r="25" spans="1:5" x14ac:dyDescent="0.35">
      <c r="A25" s="10" t="s">
        <v>207</v>
      </c>
      <c r="B25" s="10" t="s">
        <v>2692</v>
      </c>
      <c r="C25" s="10" t="s">
        <v>2733</v>
      </c>
      <c r="D25" s="10" t="s">
        <v>2734</v>
      </c>
      <c r="E25" s="10" t="s">
        <v>187</v>
      </c>
    </row>
    <row r="26" spans="1:5" x14ac:dyDescent="0.35">
      <c r="A26" s="12" t="s">
        <v>207</v>
      </c>
      <c r="B26" s="12" t="s">
        <v>2692</v>
      </c>
      <c r="C26" s="12" t="s">
        <v>2735</v>
      </c>
      <c r="D26" s="12" t="s">
        <v>2502</v>
      </c>
      <c r="E26" s="12" t="s">
        <v>187</v>
      </c>
    </row>
    <row r="27" spans="1:5" x14ac:dyDescent="0.35">
      <c r="A27" s="10" t="s">
        <v>207</v>
      </c>
      <c r="B27" s="10" t="s">
        <v>2695</v>
      </c>
      <c r="C27" s="10" t="s">
        <v>187</v>
      </c>
      <c r="D27" s="10" t="s">
        <v>2736</v>
      </c>
      <c r="E27" s="10" t="s">
        <v>2737</v>
      </c>
    </row>
    <row r="28" spans="1:5" x14ac:dyDescent="0.35">
      <c r="A28" s="12" t="s">
        <v>207</v>
      </c>
      <c r="B28" s="12" t="s">
        <v>2695</v>
      </c>
      <c r="C28" s="12" t="s">
        <v>187</v>
      </c>
      <c r="D28" s="12" t="s">
        <v>2738</v>
      </c>
      <c r="E28" s="12" t="s">
        <v>2739</v>
      </c>
    </row>
    <row r="29" spans="1:5" x14ac:dyDescent="0.35">
      <c r="A29" s="10" t="s">
        <v>207</v>
      </c>
      <c r="B29" s="10" t="s">
        <v>2692</v>
      </c>
      <c r="C29" s="10" t="s">
        <v>2740</v>
      </c>
      <c r="D29" s="10" t="s">
        <v>2741</v>
      </c>
      <c r="E29" s="10" t="s">
        <v>187</v>
      </c>
    </row>
    <row r="30" spans="1:5" x14ac:dyDescent="0.35">
      <c r="A30" s="12" t="s">
        <v>207</v>
      </c>
      <c r="B30" s="12" t="s">
        <v>2695</v>
      </c>
      <c r="C30" s="12" t="s">
        <v>187</v>
      </c>
      <c r="D30" s="12" t="s">
        <v>2742</v>
      </c>
      <c r="E30" s="12" t="s">
        <v>2743</v>
      </c>
    </row>
    <row r="31" spans="1:5" x14ac:dyDescent="0.35">
      <c r="A31" s="10" t="s">
        <v>220</v>
      </c>
      <c r="B31" s="10" t="s">
        <v>2692</v>
      </c>
      <c r="C31" s="10" t="s">
        <v>2744</v>
      </c>
      <c r="D31" s="10" t="s">
        <v>2745</v>
      </c>
      <c r="E31" s="10" t="s">
        <v>187</v>
      </c>
    </row>
    <row r="32" spans="1:5" x14ac:dyDescent="0.35">
      <c r="A32" s="12" t="s">
        <v>220</v>
      </c>
      <c r="B32" s="12" t="s">
        <v>2692</v>
      </c>
      <c r="C32" s="12" t="s">
        <v>2746</v>
      </c>
      <c r="D32" s="12" t="s">
        <v>2747</v>
      </c>
      <c r="E32" s="12" t="s">
        <v>187</v>
      </c>
    </row>
    <row r="33" spans="1:5" x14ac:dyDescent="0.35">
      <c r="A33" s="10" t="s">
        <v>220</v>
      </c>
      <c r="B33" s="10" t="s">
        <v>2695</v>
      </c>
      <c r="C33" s="10" t="s">
        <v>187</v>
      </c>
      <c r="D33" s="10" t="s">
        <v>2748</v>
      </c>
      <c r="E33" s="10" t="s">
        <v>2749</v>
      </c>
    </row>
    <row r="34" spans="1:5" x14ac:dyDescent="0.35">
      <c r="A34" s="12" t="s">
        <v>220</v>
      </c>
      <c r="B34" s="12" t="s">
        <v>2695</v>
      </c>
      <c r="C34" s="12" t="s">
        <v>187</v>
      </c>
      <c r="D34" s="12" t="s">
        <v>2750</v>
      </c>
      <c r="E34" s="12" t="s">
        <v>2751</v>
      </c>
    </row>
    <row r="35" spans="1:5" x14ac:dyDescent="0.35">
      <c r="A35" s="10" t="s">
        <v>220</v>
      </c>
      <c r="B35" s="10" t="s">
        <v>2692</v>
      </c>
      <c r="C35" s="10" t="s">
        <v>2752</v>
      </c>
      <c r="D35" s="10" t="s">
        <v>2753</v>
      </c>
      <c r="E35" s="10" t="s">
        <v>187</v>
      </c>
    </row>
    <row r="36" spans="1:5" x14ac:dyDescent="0.35">
      <c r="A36" s="12" t="s">
        <v>220</v>
      </c>
      <c r="B36" s="12" t="s">
        <v>2695</v>
      </c>
      <c r="C36" s="12" t="s">
        <v>187</v>
      </c>
      <c r="D36" s="12" t="s">
        <v>2754</v>
      </c>
      <c r="E36" s="12" t="s">
        <v>2755</v>
      </c>
    </row>
    <row r="37" spans="1:5" x14ac:dyDescent="0.35">
      <c r="A37" s="10" t="s">
        <v>232</v>
      </c>
      <c r="B37" s="10" t="s">
        <v>2695</v>
      </c>
      <c r="C37" s="10" t="s">
        <v>187</v>
      </c>
      <c r="D37" s="10" t="s">
        <v>2715</v>
      </c>
      <c r="E37" s="10" t="s">
        <v>2756</v>
      </c>
    </row>
    <row r="38" spans="1:5" x14ac:dyDescent="0.35">
      <c r="A38" s="12" t="s">
        <v>232</v>
      </c>
      <c r="B38" s="12" t="s">
        <v>2695</v>
      </c>
      <c r="C38" s="12" t="s">
        <v>187</v>
      </c>
      <c r="D38" s="12" t="s">
        <v>2717</v>
      </c>
      <c r="E38" s="12" t="s">
        <v>2718</v>
      </c>
    </row>
    <row r="39" spans="1:5" x14ac:dyDescent="0.35">
      <c r="A39" s="10" t="s">
        <v>232</v>
      </c>
      <c r="B39" s="10" t="s">
        <v>2692</v>
      </c>
      <c r="C39" s="10" t="s">
        <v>2757</v>
      </c>
      <c r="D39" s="10" t="s">
        <v>2758</v>
      </c>
      <c r="E39" s="10" t="s">
        <v>187</v>
      </c>
    </row>
    <row r="40" spans="1:5" x14ac:dyDescent="0.35">
      <c r="A40" s="12" t="s">
        <v>232</v>
      </c>
      <c r="B40" s="12" t="s">
        <v>2692</v>
      </c>
      <c r="C40" s="12" t="s">
        <v>2759</v>
      </c>
      <c r="D40" s="12" t="s">
        <v>2760</v>
      </c>
      <c r="E40" s="12" t="s">
        <v>187</v>
      </c>
    </row>
    <row r="41" spans="1:5" x14ac:dyDescent="0.35">
      <c r="A41" s="10" t="s">
        <v>232</v>
      </c>
      <c r="B41" s="10" t="s">
        <v>2692</v>
      </c>
      <c r="C41" s="10" t="s">
        <v>2761</v>
      </c>
      <c r="D41" s="10" t="s">
        <v>2762</v>
      </c>
      <c r="E41" s="10" t="s">
        <v>187</v>
      </c>
    </row>
    <row r="42" spans="1:5" x14ac:dyDescent="0.35">
      <c r="A42" s="12" t="s">
        <v>232</v>
      </c>
      <c r="B42" s="12" t="s">
        <v>2695</v>
      </c>
      <c r="C42" s="12" t="s">
        <v>187</v>
      </c>
      <c r="D42" s="12" t="s">
        <v>2763</v>
      </c>
      <c r="E42" s="12" t="s">
        <v>2764</v>
      </c>
    </row>
    <row r="43" spans="1:5" x14ac:dyDescent="0.35">
      <c r="A43" s="10" t="s">
        <v>232</v>
      </c>
      <c r="B43" s="10" t="s">
        <v>2695</v>
      </c>
      <c r="C43" s="10" t="s">
        <v>187</v>
      </c>
      <c r="D43" s="10" t="s">
        <v>2721</v>
      </c>
      <c r="E43" s="10" t="s">
        <v>2765</v>
      </c>
    </row>
    <row r="44" spans="1:5" x14ac:dyDescent="0.35">
      <c r="A44" s="12" t="s">
        <v>232</v>
      </c>
      <c r="B44" s="12" t="s">
        <v>2695</v>
      </c>
      <c r="C44" s="12" t="s">
        <v>187</v>
      </c>
      <c r="D44" s="12" t="s">
        <v>2723</v>
      </c>
      <c r="E44" s="12" t="s">
        <v>2766</v>
      </c>
    </row>
    <row r="45" spans="1:5" x14ac:dyDescent="0.35">
      <c r="A45" s="10" t="s">
        <v>232</v>
      </c>
      <c r="B45" s="10" t="s">
        <v>2692</v>
      </c>
      <c r="C45" s="10" t="s">
        <v>2767</v>
      </c>
      <c r="D45" s="10" t="s">
        <v>2768</v>
      </c>
      <c r="E45" s="10" t="s">
        <v>187</v>
      </c>
    </row>
    <row r="46" spans="1:5" x14ac:dyDescent="0.35">
      <c r="A46" s="12" t="s">
        <v>232</v>
      </c>
      <c r="B46" s="12" t="s">
        <v>2692</v>
      </c>
      <c r="C46" s="12" t="s">
        <v>2769</v>
      </c>
      <c r="D46" s="12" t="s">
        <v>2770</v>
      </c>
      <c r="E46" s="12" t="s">
        <v>187</v>
      </c>
    </row>
    <row r="47" spans="1:5" x14ac:dyDescent="0.35">
      <c r="A47" s="10" t="s">
        <v>232</v>
      </c>
      <c r="B47" s="10" t="s">
        <v>2695</v>
      </c>
      <c r="C47" s="10" t="s">
        <v>187</v>
      </c>
      <c r="D47" s="10" t="s">
        <v>2771</v>
      </c>
      <c r="E47" s="10" t="s">
        <v>2772</v>
      </c>
    </row>
    <row r="48" spans="1:5" x14ac:dyDescent="0.35">
      <c r="A48" s="12" t="s">
        <v>232</v>
      </c>
      <c r="B48" s="12" t="s">
        <v>2692</v>
      </c>
      <c r="C48" s="12" t="s">
        <v>2773</v>
      </c>
      <c r="D48" s="12" t="s">
        <v>2774</v>
      </c>
      <c r="E48" s="12" t="s">
        <v>187</v>
      </c>
    </row>
    <row r="49" spans="1:5" x14ac:dyDescent="0.35">
      <c r="A49" s="10" t="s">
        <v>232</v>
      </c>
      <c r="B49" s="10" t="s">
        <v>2695</v>
      </c>
      <c r="C49" s="10" t="s">
        <v>187</v>
      </c>
      <c r="D49" s="10" t="s">
        <v>2775</v>
      </c>
      <c r="E49" s="10" t="s">
        <v>2776</v>
      </c>
    </row>
    <row r="50" spans="1:5" x14ac:dyDescent="0.35">
      <c r="A50" s="12" t="s">
        <v>232</v>
      </c>
      <c r="B50" s="12" t="s">
        <v>2695</v>
      </c>
      <c r="C50" s="12" t="s">
        <v>187</v>
      </c>
      <c r="D50" s="12" t="s">
        <v>2777</v>
      </c>
      <c r="E50" s="12" t="s">
        <v>2778</v>
      </c>
    </row>
    <row r="51" spans="1:5" x14ac:dyDescent="0.35">
      <c r="A51" s="10" t="s">
        <v>232</v>
      </c>
      <c r="B51" s="10" t="s">
        <v>2692</v>
      </c>
      <c r="C51" s="10" t="s">
        <v>2779</v>
      </c>
      <c r="D51" s="10" t="s">
        <v>2780</v>
      </c>
      <c r="E51" s="10" t="s">
        <v>187</v>
      </c>
    </row>
    <row r="52" spans="1:5" x14ac:dyDescent="0.35">
      <c r="A52" s="12" t="s">
        <v>232</v>
      </c>
      <c r="B52" s="12" t="s">
        <v>2695</v>
      </c>
      <c r="C52" s="12" t="s">
        <v>187</v>
      </c>
      <c r="D52" s="12" t="s">
        <v>2781</v>
      </c>
      <c r="E52" s="12" t="s">
        <v>2764</v>
      </c>
    </row>
    <row r="53" spans="1:5" x14ac:dyDescent="0.35">
      <c r="A53" s="10" t="s">
        <v>232</v>
      </c>
      <c r="B53" s="10" t="s">
        <v>2692</v>
      </c>
      <c r="C53" s="10" t="s">
        <v>2782</v>
      </c>
      <c r="D53" s="10" t="s">
        <v>2783</v>
      </c>
      <c r="E53" s="10" t="s">
        <v>187</v>
      </c>
    </row>
    <row r="54" spans="1:5" x14ac:dyDescent="0.35">
      <c r="A54" s="12" t="s">
        <v>232</v>
      </c>
      <c r="B54" s="12" t="s">
        <v>2695</v>
      </c>
      <c r="C54" s="12" t="s">
        <v>187</v>
      </c>
      <c r="D54" s="12" t="s">
        <v>2784</v>
      </c>
      <c r="E54" s="12" t="s">
        <v>2739</v>
      </c>
    </row>
    <row r="55" spans="1:5" x14ac:dyDescent="0.35">
      <c r="A55" s="10" t="s">
        <v>232</v>
      </c>
      <c r="B55" s="10" t="s">
        <v>2692</v>
      </c>
      <c r="C55" s="10" t="s">
        <v>2785</v>
      </c>
      <c r="D55" s="10" t="s">
        <v>2786</v>
      </c>
      <c r="E55" s="10" t="s">
        <v>187</v>
      </c>
    </row>
    <row r="56" spans="1:5" x14ac:dyDescent="0.35">
      <c r="A56" s="12" t="s">
        <v>232</v>
      </c>
      <c r="B56" s="12" t="s">
        <v>2695</v>
      </c>
      <c r="C56" s="12" t="s">
        <v>187</v>
      </c>
      <c r="D56" s="12" t="s">
        <v>2787</v>
      </c>
      <c r="E56" s="12" t="s">
        <v>2788</v>
      </c>
    </row>
    <row r="57" spans="1:5" x14ac:dyDescent="0.35">
      <c r="A57" s="10" t="s">
        <v>232</v>
      </c>
      <c r="B57" s="10" t="s">
        <v>2692</v>
      </c>
      <c r="C57" s="10" t="s">
        <v>2789</v>
      </c>
      <c r="D57" s="10" t="s">
        <v>2790</v>
      </c>
      <c r="E57" s="10" t="s">
        <v>187</v>
      </c>
    </row>
    <row r="58" spans="1:5" x14ac:dyDescent="0.35">
      <c r="A58" s="12" t="s">
        <v>232</v>
      </c>
      <c r="B58" s="12" t="s">
        <v>2695</v>
      </c>
      <c r="C58" s="12" t="s">
        <v>187</v>
      </c>
      <c r="D58" s="12" t="s">
        <v>2791</v>
      </c>
      <c r="E58" s="12" t="s">
        <v>2792</v>
      </c>
    </row>
    <row r="59" spans="1:5" x14ac:dyDescent="0.35">
      <c r="A59" s="10" t="s">
        <v>245</v>
      </c>
      <c r="B59" s="10" t="s">
        <v>2692</v>
      </c>
      <c r="C59" s="10" t="s">
        <v>2793</v>
      </c>
      <c r="D59" s="10" t="s">
        <v>2794</v>
      </c>
      <c r="E59" s="10" t="s">
        <v>187</v>
      </c>
    </row>
    <row r="60" spans="1:5" x14ac:dyDescent="0.35">
      <c r="A60" s="12" t="s">
        <v>245</v>
      </c>
      <c r="B60" s="12" t="s">
        <v>2692</v>
      </c>
      <c r="C60" s="12" t="s">
        <v>2795</v>
      </c>
      <c r="D60" s="12" t="s">
        <v>2796</v>
      </c>
      <c r="E60" s="12" t="s">
        <v>187</v>
      </c>
    </row>
    <row r="61" spans="1:5" x14ac:dyDescent="0.35">
      <c r="A61" s="10" t="s">
        <v>245</v>
      </c>
      <c r="B61" s="10" t="s">
        <v>2695</v>
      </c>
      <c r="C61" s="10" t="s">
        <v>187</v>
      </c>
      <c r="D61" s="10" t="s">
        <v>2797</v>
      </c>
      <c r="E61" s="10" t="s">
        <v>2798</v>
      </c>
    </row>
    <row r="62" spans="1:5" x14ac:dyDescent="0.35">
      <c r="A62" s="12" t="s">
        <v>245</v>
      </c>
      <c r="B62" s="12" t="s">
        <v>2695</v>
      </c>
      <c r="C62" s="12" t="s">
        <v>187</v>
      </c>
      <c r="D62" s="12" t="s">
        <v>2799</v>
      </c>
      <c r="E62" s="12" t="s">
        <v>2800</v>
      </c>
    </row>
    <row r="63" spans="1:5" x14ac:dyDescent="0.35">
      <c r="A63" s="10" t="s">
        <v>245</v>
      </c>
      <c r="B63" s="10" t="s">
        <v>2692</v>
      </c>
      <c r="C63" s="10" t="s">
        <v>2801</v>
      </c>
      <c r="D63" s="10" t="s">
        <v>2802</v>
      </c>
      <c r="E63" s="10" t="s">
        <v>187</v>
      </c>
    </row>
    <row r="64" spans="1:5" x14ac:dyDescent="0.35">
      <c r="A64" s="12" t="s">
        <v>245</v>
      </c>
      <c r="B64" s="12" t="s">
        <v>2695</v>
      </c>
      <c r="C64" s="12" t="s">
        <v>187</v>
      </c>
      <c r="D64" s="12" t="s">
        <v>2803</v>
      </c>
      <c r="E64" s="12" t="s">
        <v>2804</v>
      </c>
    </row>
    <row r="65" spans="1:5" x14ac:dyDescent="0.35">
      <c r="A65" s="10" t="s">
        <v>245</v>
      </c>
      <c r="B65" s="10" t="s">
        <v>2692</v>
      </c>
      <c r="C65" s="10" t="s">
        <v>2805</v>
      </c>
      <c r="D65" s="10" t="s">
        <v>2806</v>
      </c>
      <c r="E65" s="10" t="s">
        <v>187</v>
      </c>
    </row>
    <row r="66" spans="1:5" x14ac:dyDescent="0.35">
      <c r="A66" s="12" t="s">
        <v>245</v>
      </c>
      <c r="B66" s="12" t="s">
        <v>2695</v>
      </c>
      <c r="C66" s="12" t="s">
        <v>187</v>
      </c>
      <c r="D66" s="12" t="s">
        <v>2807</v>
      </c>
      <c r="E66" s="12" t="s">
        <v>2739</v>
      </c>
    </row>
    <row r="67" spans="1:5" x14ac:dyDescent="0.35">
      <c r="A67" s="10" t="s">
        <v>245</v>
      </c>
      <c r="B67" s="10" t="s">
        <v>2692</v>
      </c>
      <c r="C67" s="10" t="s">
        <v>2808</v>
      </c>
      <c r="D67" s="10" t="s">
        <v>2809</v>
      </c>
      <c r="E67" s="10" t="s">
        <v>187</v>
      </c>
    </row>
    <row r="68" spans="1:5" x14ac:dyDescent="0.35">
      <c r="A68" s="12" t="s">
        <v>245</v>
      </c>
      <c r="B68" s="12" t="s">
        <v>2695</v>
      </c>
      <c r="C68" s="12" t="s">
        <v>187</v>
      </c>
      <c r="D68" s="12" t="s">
        <v>2810</v>
      </c>
      <c r="E68" s="12" t="s">
        <v>2811</v>
      </c>
    </row>
    <row r="69" spans="1:5" x14ac:dyDescent="0.35">
      <c r="A69" s="10" t="s">
        <v>245</v>
      </c>
      <c r="B69" s="10" t="s">
        <v>2692</v>
      </c>
      <c r="C69" s="10" t="s">
        <v>2812</v>
      </c>
      <c r="D69" s="10" t="s">
        <v>2813</v>
      </c>
      <c r="E69" s="10" t="s">
        <v>187</v>
      </c>
    </row>
    <row r="70" spans="1:5" x14ac:dyDescent="0.35">
      <c r="A70" s="12" t="s">
        <v>258</v>
      </c>
      <c r="B70" s="12" t="s">
        <v>2692</v>
      </c>
      <c r="C70" s="12" t="s">
        <v>2814</v>
      </c>
      <c r="D70" s="12" t="s">
        <v>2815</v>
      </c>
      <c r="E70" s="12" t="s">
        <v>187</v>
      </c>
    </row>
    <row r="71" spans="1:5" x14ac:dyDescent="0.35">
      <c r="A71" s="10" t="s">
        <v>258</v>
      </c>
      <c r="B71" s="10" t="s">
        <v>2816</v>
      </c>
      <c r="C71" s="10" t="s">
        <v>187</v>
      </c>
      <c r="D71" s="10" t="s">
        <v>2817</v>
      </c>
      <c r="E71" s="10" t="s">
        <v>2818</v>
      </c>
    </row>
    <row r="72" spans="1:5" x14ac:dyDescent="0.35">
      <c r="A72" s="12" t="s">
        <v>258</v>
      </c>
      <c r="B72" s="12" t="s">
        <v>2692</v>
      </c>
      <c r="C72" s="12" t="s">
        <v>2819</v>
      </c>
      <c r="D72" s="12" t="s">
        <v>2820</v>
      </c>
      <c r="E72" s="12" t="s">
        <v>187</v>
      </c>
    </row>
    <row r="73" spans="1:5" x14ac:dyDescent="0.35">
      <c r="A73" s="10" t="s">
        <v>258</v>
      </c>
      <c r="B73" s="10" t="s">
        <v>2692</v>
      </c>
      <c r="C73" s="10" t="s">
        <v>2821</v>
      </c>
      <c r="D73" s="10" t="s">
        <v>2822</v>
      </c>
      <c r="E73" s="10" t="s">
        <v>187</v>
      </c>
    </row>
    <row r="74" spans="1:5" x14ac:dyDescent="0.35">
      <c r="A74" s="12" t="s">
        <v>258</v>
      </c>
      <c r="B74" s="12" t="s">
        <v>2695</v>
      </c>
      <c r="C74" s="12" t="s">
        <v>187</v>
      </c>
      <c r="D74" s="12" t="s">
        <v>2823</v>
      </c>
      <c r="E74" s="12" t="s">
        <v>2824</v>
      </c>
    </row>
    <row r="75" spans="1:5" x14ac:dyDescent="0.35">
      <c r="A75" s="10" t="s">
        <v>258</v>
      </c>
      <c r="B75" s="10" t="s">
        <v>2695</v>
      </c>
      <c r="C75" s="10" t="s">
        <v>187</v>
      </c>
      <c r="D75" s="10" t="s">
        <v>2825</v>
      </c>
      <c r="E75" s="10" t="s">
        <v>2826</v>
      </c>
    </row>
    <row r="76" spans="1:5" x14ac:dyDescent="0.35">
      <c r="A76" s="12" t="s">
        <v>258</v>
      </c>
      <c r="B76" s="12" t="s">
        <v>2692</v>
      </c>
      <c r="C76" s="12" t="s">
        <v>2827</v>
      </c>
      <c r="D76" s="12" t="s">
        <v>2497</v>
      </c>
      <c r="E76" s="12" t="s">
        <v>187</v>
      </c>
    </row>
    <row r="77" spans="1:5" x14ac:dyDescent="0.35">
      <c r="A77" s="10" t="s">
        <v>258</v>
      </c>
      <c r="B77" s="10" t="s">
        <v>2692</v>
      </c>
      <c r="C77" s="10" t="s">
        <v>2828</v>
      </c>
      <c r="D77" s="10" t="s">
        <v>2829</v>
      </c>
      <c r="E77" s="10" t="s">
        <v>187</v>
      </c>
    </row>
    <row r="78" spans="1:5" x14ac:dyDescent="0.35">
      <c r="A78" s="12" t="s">
        <v>258</v>
      </c>
      <c r="B78" s="12" t="s">
        <v>2692</v>
      </c>
      <c r="C78" s="12" t="s">
        <v>2830</v>
      </c>
      <c r="D78" s="12" t="s">
        <v>2831</v>
      </c>
      <c r="E78" s="12" t="s">
        <v>187</v>
      </c>
    </row>
    <row r="79" spans="1:5" ht="162.5" x14ac:dyDescent="0.35">
      <c r="A79" s="10" t="s">
        <v>258</v>
      </c>
      <c r="B79" s="10" t="s">
        <v>2695</v>
      </c>
      <c r="C79" s="10" t="s">
        <v>187</v>
      </c>
      <c r="D79" s="10" t="s">
        <v>2832</v>
      </c>
      <c r="E79" s="10" t="s">
        <v>2833</v>
      </c>
    </row>
    <row r="80" spans="1:5" x14ac:dyDescent="0.35">
      <c r="A80" s="12" t="s">
        <v>258</v>
      </c>
      <c r="B80" s="12" t="s">
        <v>2695</v>
      </c>
      <c r="C80" s="12" t="s">
        <v>187</v>
      </c>
      <c r="D80" s="12" t="s">
        <v>2834</v>
      </c>
      <c r="E80" s="12" t="s">
        <v>2835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E37"/>
  <sheetViews>
    <sheetView showGridLines="0" topLeftCell="D19" workbookViewId="0"/>
  </sheetViews>
  <sheetFormatPr defaultRowHeight="14.5" x14ac:dyDescent="0.35"/>
  <cols>
    <col min="1" max="1" width="20" customWidth="1"/>
    <col min="2" max="2" width="12" customWidth="1"/>
    <col min="3" max="3" width="46" customWidth="1"/>
    <col min="4" max="4" width="80" customWidth="1"/>
    <col min="5" max="5" width="26" customWidth="1"/>
  </cols>
  <sheetData>
    <row r="1" spans="1:5" ht="20" x14ac:dyDescent="0.4">
      <c r="A1" s="1" t="s">
        <v>2836</v>
      </c>
    </row>
    <row r="4" spans="1:5" x14ac:dyDescent="0.35">
      <c r="A4" s="8" t="s">
        <v>2837</v>
      </c>
      <c r="B4" s="8" t="s">
        <v>164</v>
      </c>
      <c r="C4" s="8" t="s">
        <v>2838</v>
      </c>
      <c r="D4" s="8" t="s">
        <v>2839</v>
      </c>
      <c r="E4" s="8" t="s">
        <v>2840</v>
      </c>
    </row>
    <row r="5" spans="1:5" x14ac:dyDescent="0.35">
      <c r="A5" s="10" t="s">
        <v>2728</v>
      </c>
      <c r="B5" s="10" t="s">
        <v>2502</v>
      </c>
      <c r="C5" s="10" t="s">
        <v>2841</v>
      </c>
      <c r="D5" s="10" t="s">
        <v>2842</v>
      </c>
      <c r="E5" s="10" t="s">
        <v>2843</v>
      </c>
    </row>
    <row r="6" spans="1:5" x14ac:dyDescent="0.35">
      <c r="A6" s="12" t="s">
        <v>2728</v>
      </c>
      <c r="B6" s="12" t="s">
        <v>2502</v>
      </c>
      <c r="C6" s="12" t="s">
        <v>2844</v>
      </c>
      <c r="D6" s="12" t="s">
        <v>2845</v>
      </c>
      <c r="E6" s="12" t="s">
        <v>2846</v>
      </c>
    </row>
    <row r="7" spans="1:5" x14ac:dyDescent="0.35">
      <c r="A7" s="10" t="s">
        <v>2728</v>
      </c>
      <c r="B7" s="10" t="s">
        <v>2502</v>
      </c>
      <c r="C7" s="10" t="s">
        <v>2847</v>
      </c>
      <c r="D7" s="10" t="s">
        <v>2848</v>
      </c>
      <c r="E7" s="10" t="s">
        <v>2846</v>
      </c>
    </row>
    <row r="8" spans="1:5" x14ac:dyDescent="0.35">
      <c r="A8" s="12" t="s">
        <v>2728</v>
      </c>
      <c r="B8" s="12" t="s">
        <v>2502</v>
      </c>
      <c r="C8" s="12" t="s">
        <v>2849</v>
      </c>
      <c r="D8" s="12" t="s">
        <v>2850</v>
      </c>
      <c r="E8" s="12" t="s">
        <v>54</v>
      </c>
    </row>
    <row r="9" spans="1:5" x14ac:dyDescent="0.35">
      <c r="A9" s="10" t="s">
        <v>2728</v>
      </c>
      <c r="B9" s="10" t="s">
        <v>2502</v>
      </c>
      <c r="C9" s="10" t="s">
        <v>2851</v>
      </c>
      <c r="D9" s="10" t="s">
        <v>1873</v>
      </c>
      <c r="E9" s="10" t="s">
        <v>2852</v>
      </c>
    </row>
    <row r="10" spans="1:5" ht="25" x14ac:dyDescent="0.35">
      <c r="A10" s="12" t="s">
        <v>2502</v>
      </c>
      <c r="B10" s="12" t="s">
        <v>2502</v>
      </c>
      <c r="C10" s="12" t="s">
        <v>2853</v>
      </c>
      <c r="D10" s="12" t="s">
        <v>2854</v>
      </c>
      <c r="E10" s="12" t="s">
        <v>84</v>
      </c>
    </row>
    <row r="11" spans="1:5" x14ac:dyDescent="0.35">
      <c r="A11" s="10" t="s">
        <v>2809</v>
      </c>
      <c r="B11" s="10" t="s">
        <v>2506</v>
      </c>
      <c r="C11" s="10" t="s">
        <v>2855</v>
      </c>
      <c r="D11" s="10" t="s">
        <v>2856</v>
      </c>
      <c r="E11" s="10" t="s">
        <v>54</v>
      </c>
    </row>
    <row r="12" spans="1:5" x14ac:dyDescent="0.35">
      <c r="A12" s="12" t="s">
        <v>2809</v>
      </c>
      <c r="B12" s="12" t="s">
        <v>2506</v>
      </c>
      <c r="C12" s="12" t="s">
        <v>2857</v>
      </c>
      <c r="D12" s="12" t="s">
        <v>2858</v>
      </c>
      <c r="E12" s="12" t="s">
        <v>54</v>
      </c>
    </row>
    <row r="13" spans="1:5" x14ac:dyDescent="0.35">
      <c r="A13" s="10" t="s">
        <v>2809</v>
      </c>
      <c r="B13" s="10" t="s">
        <v>2506</v>
      </c>
      <c r="C13" s="10" t="s">
        <v>2859</v>
      </c>
      <c r="D13" s="10" t="s">
        <v>2860</v>
      </c>
      <c r="E13" s="10" t="s">
        <v>2861</v>
      </c>
    </row>
    <row r="14" spans="1:5" x14ac:dyDescent="0.35">
      <c r="A14" s="12" t="s">
        <v>2809</v>
      </c>
      <c r="B14" s="12" t="s">
        <v>2506</v>
      </c>
      <c r="C14" s="12" t="s">
        <v>2862</v>
      </c>
      <c r="D14" s="12" t="s">
        <v>2863</v>
      </c>
      <c r="E14" s="12" t="s">
        <v>2864</v>
      </c>
    </row>
    <row r="15" spans="1:5" x14ac:dyDescent="0.35">
      <c r="A15" s="10" t="s">
        <v>2865</v>
      </c>
      <c r="B15" s="10" t="s">
        <v>2506</v>
      </c>
      <c r="C15" s="10" t="s">
        <v>2866</v>
      </c>
      <c r="D15" s="10" t="s">
        <v>2867</v>
      </c>
      <c r="E15" s="10" t="s">
        <v>84</v>
      </c>
    </row>
    <row r="16" spans="1:5" x14ac:dyDescent="0.35">
      <c r="A16" s="12" t="s">
        <v>2796</v>
      </c>
      <c r="B16" s="12" t="s">
        <v>2506</v>
      </c>
      <c r="C16" s="12" t="s">
        <v>2841</v>
      </c>
      <c r="D16" s="12" t="s">
        <v>2868</v>
      </c>
      <c r="E16" s="12" t="s">
        <v>54</v>
      </c>
    </row>
    <row r="17" spans="1:5" x14ac:dyDescent="0.35">
      <c r="A17" s="10" t="s">
        <v>2796</v>
      </c>
      <c r="B17" s="10" t="s">
        <v>2506</v>
      </c>
      <c r="C17" s="10" t="s">
        <v>2869</v>
      </c>
      <c r="D17" s="10" t="s">
        <v>2870</v>
      </c>
      <c r="E17" s="10" t="s">
        <v>84</v>
      </c>
    </row>
    <row r="18" spans="1:5" x14ac:dyDescent="0.35">
      <c r="A18" s="12" t="s">
        <v>2796</v>
      </c>
      <c r="B18" s="12" t="s">
        <v>2506</v>
      </c>
      <c r="C18" s="12" t="s">
        <v>2871</v>
      </c>
      <c r="D18" s="12" t="s">
        <v>2872</v>
      </c>
      <c r="E18" s="12" t="s">
        <v>2873</v>
      </c>
    </row>
    <row r="19" spans="1:5" x14ac:dyDescent="0.35">
      <c r="A19" s="10" t="s">
        <v>2796</v>
      </c>
      <c r="B19" s="10" t="s">
        <v>2506</v>
      </c>
      <c r="C19" s="10" t="s">
        <v>2874</v>
      </c>
      <c r="D19" s="10" t="s">
        <v>2875</v>
      </c>
      <c r="E19" s="10" t="s">
        <v>84</v>
      </c>
    </row>
    <row r="20" spans="1:5" x14ac:dyDescent="0.35">
      <c r="A20" s="12" t="s">
        <v>2802</v>
      </c>
      <c r="B20" s="12" t="s">
        <v>2506</v>
      </c>
      <c r="C20" s="12" t="s">
        <v>2841</v>
      </c>
      <c r="D20" s="12" t="s">
        <v>2876</v>
      </c>
      <c r="E20" s="12" t="s">
        <v>2877</v>
      </c>
    </row>
    <row r="21" spans="1:5" x14ac:dyDescent="0.35">
      <c r="A21" s="10" t="s">
        <v>2802</v>
      </c>
      <c r="B21" s="10" t="s">
        <v>2506</v>
      </c>
      <c r="C21" s="10" t="s">
        <v>2878</v>
      </c>
      <c r="D21" s="10" t="s">
        <v>2879</v>
      </c>
      <c r="E21" s="10" t="s">
        <v>84</v>
      </c>
    </row>
    <row r="22" spans="1:5" x14ac:dyDescent="0.35">
      <c r="A22" s="12" t="s">
        <v>2802</v>
      </c>
      <c r="B22" s="12" t="s">
        <v>2506</v>
      </c>
      <c r="C22" s="12" t="s">
        <v>2871</v>
      </c>
      <c r="D22" s="12" t="s">
        <v>2880</v>
      </c>
      <c r="E22" s="12" t="s">
        <v>2873</v>
      </c>
    </row>
    <row r="23" spans="1:5" x14ac:dyDescent="0.35">
      <c r="A23" s="10" t="s">
        <v>2745</v>
      </c>
      <c r="B23" s="10" t="s">
        <v>2561</v>
      </c>
      <c r="C23" s="10" t="s">
        <v>2881</v>
      </c>
      <c r="D23" s="10" t="s">
        <v>2882</v>
      </c>
      <c r="E23" s="10" t="s">
        <v>2843</v>
      </c>
    </row>
    <row r="24" spans="1:5" x14ac:dyDescent="0.35">
      <c r="A24" s="12" t="s">
        <v>2745</v>
      </c>
      <c r="B24" s="12" t="s">
        <v>2561</v>
      </c>
      <c r="C24" s="12" t="s">
        <v>2883</v>
      </c>
      <c r="D24" s="12" t="s">
        <v>2884</v>
      </c>
      <c r="E24" s="12" t="s">
        <v>2885</v>
      </c>
    </row>
    <row r="25" spans="1:5" x14ac:dyDescent="0.35">
      <c r="A25" s="10" t="s">
        <v>2745</v>
      </c>
      <c r="B25" s="10" t="s">
        <v>2561</v>
      </c>
      <c r="C25" s="10" t="s">
        <v>2886</v>
      </c>
      <c r="D25" s="10" t="s">
        <v>2887</v>
      </c>
      <c r="E25" s="10" t="s">
        <v>2885</v>
      </c>
    </row>
    <row r="26" spans="1:5" x14ac:dyDescent="0.35">
      <c r="A26" s="12" t="s">
        <v>2745</v>
      </c>
      <c r="B26" s="12" t="s">
        <v>2561</v>
      </c>
      <c r="C26" s="12" t="s">
        <v>2888</v>
      </c>
      <c r="D26" s="12" t="s">
        <v>2889</v>
      </c>
      <c r="E26" s="12" t="s">
        <v>2885</v>
      </c>
    </row>
    <row r="27" spans="1:5" x14ac:dyDescent="0.35">
      <c r="A27" s="10" t="s">
        <v>2745</v>
      </c>
      <c r="B27" s="10" t="s">
        <v>2561</v>
      </c>
      <c r="C27" s="10" t="s">
        <v>2890</v>
      </c>
      <c r="D27" s="10" t="s">
        <v>2891</v>
      </c>
      <c r="E27" s="10" t="s">
        <v>54</v>
      </c>
    </row>
    <row r="28" spans="1:5" x14ac:dyDescent="0.35">
      <c r="A28" s="12" t="s">
        <v>2774</v>
      </c>
      <c r="B28" s="12" t="s">
        <v>2528</v>
      </c>
      <c r="C28" s="12" t="s">
        <v>2892</v>
      </c>
      <c r="D28" s="12" t="s">
        <v>2893</v>
      </c>
      <c r="E28" s="12" t="s">
        <v>84</v>
      </c>
    </row>
    <row r="29" spans="1:5" ht="25" x14ac:dyDescent="0.35">
      <c r="A29" s="10" t="s">
        <v>2894</v>
      </c>
      <c r="B29" s="10" t="s">
        <v>2528</v>
      </c>
      <c r="C29" s="10" t="s">
        <v>2895</v>
      </c>
      <c r="D29" s="10" t="s">
        <v>2896</v>
      </c>
      <c r="E29" s="10" t="s">
        <v>84</v>
      </c>
    </row>
    <row r="30" spans="1:5" ht="25" x14ac:dyDescent="0.35">
      <c r="A30" s="12" t="s">
        <v>2897</v>
      </c>
      <c r="B30" s="12" t="s">
        <v>2528</v>
      </c>
      <c r="C30" s="12" t="s">
        <v>2898</v>
      </c>
      <c r="D30" s="12" t="s">
        <v>2899</v>
      </c>
      <c r="E30" s="12" t="s">
        <v>2900</v>
      </c>
    </row>
    <row r="31" spans="1:5" x14ac:dyDescent="0.35">
      <c r="A31" s="10" t="s">
        <v>2901</v>
      </c>
      <c r="B31" s="10" t="s">
        <v>2528</v>
      </c>
      <c r="C31" s="10" t="s">
        <v>2902</v>
      </c>
      <c r="D31" s="10" t="s">
        <v>2903</v>
      </c>
      <c r="E31" s="10" t="s">
        <v>2852</v>
      </c>
    </row>
    <row r="32" spans="1:5" x14ac:dyDescent="0.35">
      <c r="A32" s="12" t="s">
        <v>2901</v>
      </c>
      <c r="B32" s="12" t="s">
        <v>2528</v>
      </c>
      <c r="C32" s="12" t="s">
        <v>2904</v>
      </c>
      <c r="D32" s="12" t="s">
        <v>2905</v>
      </c>
      <c r="E32" s="12" t="s">
        <v>2873</v>
      </c>
    </row>
    <row r="33" spans="1:5" ht="25" x14ac:dyDescent="0.35">
      <c r="A33" s="10" t="s">
        <v>2901</v>
      </c>
      <c r="B33" s="10" t="s">
        <v>2528</v>
      </c>
      <c r="C33" s="10" t="s">
        <v>2906</v>
      </c>
      <c r="D33" s="10" t="s">
        <v>2907</v>
      </c>
      <c r="E33" s="10" t="s">
        <v>84</v>
      </c>
    </row>
    <row r="34" spans="1:5" x14ac:dyDescent="0.35">
      <c r="A34" s="12" t="s">
        <v>2901</v>
      </c>
      <c r="B34" s="12" t="s">
        <v>2528</v>
      </c>
      <c r="C34" s="12" t="s">
        <v>2908</v>
      </c>
      <c r="D34" s="12" t="s">
        <v>2909</v>
      </c>
      <c r="E34" s="12" t="s">
        <v>2910</v>
      </c>
    </row>
    <row r="35" spans="1:5" x14ac:dyDescent="0.35">
      <c r="A35" s="10" t="s">
        <v>2911</v>
      </c>
      <c r="B35" s="10" t="s">
        <v>2528</v>
      </c>
      <c r="C35" s="10" t="s">
        <v>2912</v>
      </c>
      <c r="D35" s="10" t="s">
        <v>2913</v>
      </c>
      <c r="E35" s="10" t="s">
        <v>84</v>
      </c>
    </row>
    <row r="36" spans="1:5" x14ac:dyDescent="0.35">
      <c r="A36" s="12" t="s">
        <v>2914</v>
      </c>
      <c r="B36" s="12" t="s">
        <v>2493</v>
      </c>
      <c r="C36" s="12" t="s">
        <v>2915</v>
      </c>
      <c r="D36" s="12" t="s">
        <v>2916</v>
      </c>
      <c r="E36" s="12" t="s">
        <v>2917</v>
      </c>
    </row>
    <row r="37" spans="1:5" x14ac:dyDescent="0.35">
      <c r="A37" s="10" t="s">
        <v>2918</v>
      </c>
      <c r="B37" s="10" t="s">
        <v>2528</v>
      </c>
      <c r="C37" s="10" t="s">
        <v>2919</v>
      </c>
      <c r="D37" s="10" t="s">
        <v>2087</v>
      </c>
      <c r="E37" s="10" t="s">
        <v>2852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G57"/>
  <sheetViews>
    <sheetView showGridLines="0" workbookViewId="0">
      <pane xSplit="1" ySplit="4" topLeftCell="AR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0" customWidth="1"/>
    <col min="2" max="2" width="22" customWidth="1"/>
    <col min="3" max="3" width="16" customWidth="1"/>
    <col min="4" max="4" width="34" customWidth="1"/>
    <col min="5" max="5" width="55" customWidth="1"/>
    <col min="6" max="7" width="60" customWidth="1"/>
  </cols>
  <sheetData>
    <row r="1" spans="1:7" ht="20" x14ac:dyDescent="0.4">
      <c r="A1" s="1" t="s">
        <v>2920</v>
      </c>
    </row>
    <row r="2" spans="1:7" x14ac:dyDescent="0.35">
      <c r="A2" s="2" t="s">
        <v>2921</v>
      </c>
    </row>
    <row r="4" spans="1:7" x14ac:dyDescent="0.35">
      <c r="A4" s="8" t="s">
        <v>2922</v>
      </c>
      <c r="B4" s="8" t="s">
        <v>2923</v>
      </c>
      <c r="C4" s="8" t="s">
        <v>2705</v>
      </c>
      <c r="D4" s="8" t="s">
        <v>2924</v>
      </c>
      <c r="E4" s="8" t="s">
        <v>2925</v>
      </c>
      <c r="F4" s="8" t="s">
        <v>2926</v>
      </c>
      <c r="G4" s="8" t="s">
        <v>2927</v>
      </c>
    </row>
    <row r="5" spans="1:7" x14ac:dyDescent="0.35">
      <c r="A5" s="10" t="s">
        <v>2928</v>
      </c>
      <c r="B5" s="10" t="s">
        <v>2929</v>
      </c>
      <c r="C5" s="10" t="s">
        <v>292</v>
      </c>
      <c r="D5" s="10" t="s">
        <v>2930</v>
      </c>
      <c r="E5" s="10" t="s">
        <v>2931</v>
      </c>
      <c r="F5" s="10" t="s">
        <v>1143</v>
      </c>
      <c r="G5" s="10" t="s">
        <v>2932</v>
      </c>
    </row>
    <row r="6" spans="1:7" ht="25" x14ac:dyDescent="0.35">
      <c r="A6" s="12" t="s">
        <v>1152</v>
      </c>
      <c r="B6" s="12" t="s">
        <v>2929</v>
      </c>
      <c r="C6" s="12" t="s">
        <v>292</v>
      </c>
      <c r="D6" s="12" t="s">
        <v>2933</v>
      </c>
      <c r="E6" s="12" t="s">
        <v>2934</v>
      </c>
      <c r="F6" s="12" t="s">
        <v>2935</v>
      </c>
      <c r="G6" s="12" t="s">
        <v>2936</v>
      </c>
    </row>
    <row r="7" spans="1:7" x14ac:dyDescent="0.35">
      <c r="A7" s="10" t="s">
        <v>2937</v>
      </c>
      <c r="B7" s="10" t="s">
        <v>2929</v>
      </c>
      <c r="C7" s="10" t="s">
        <v>292</v>
      </c>
      <c r="D7" s="10" t="s">
        <v>2938</v>
      </c>
      <c r="E7" s="10" t="s">
        <v>2939</v>
      </c>
      <c r="F7" s="10" t="s">
        <v>1166</v>
      </c>
      <c r="G7" s="10" t="s">
        <v>2940</v>
      </c>
    </row>
    <row r="8" spans="1:7" x14ac:dyDescent="0.35">
      <c r="A8" s="12" t="s">
        <v>308</v>
      </c>
      <c r="B8" s="12" t="s">
        <v>2941</v>
      </c>
      <c r="C8" s="12" t="s">
        <v>2942</v>
      </c>
      <c r="D8" s="12" t="s">
        <v>2943</v>
      </c>
      <c r="E8" s="12" t="s">
        <v>1613</v>
      </c>
      <c r="F8" s="12" t="s">
        <v>307</v>
      </c>
      <c r="G8" s="12" t="s">
        <v>2944</v>
      </c>
    </row>
    <row r="9" spans="1:7" x14ac:dyDescent="0.35">
      <c r="A9" s="10" t="s">
        <v>300</v>
      </c>
      <c r="B9" s="10" t="s">
        <v>2941</v>
      </c>
      <c r="C9" s="10" t="s">
        <v>2942</v>
      </c>
      <c r="D9" s="10" t="s">
        <v>2945</v>
      </c>
      <c r="E9" s="10" t="s">
        <v>1611</v>
      </c>
      <c r="F9" s="10" t="s">
        <v>299</v>
      </c>
      <c r="G9" s="10" t="s">
        <v>2946</v>
      </c>
    </row>
    <row r="10" spans="1:7" ht="62.5" x14ac:dyDescent="0.35">
      <c r="A10" s="12" t="s">
        <v>1161</v>
      </c>
      <c r="B10" s="12" t="s">
        <v>2947</v>
      </c>
      <c r="C10" s="12" t="s">
        <v>386</v>
      </c>
      <c r="D10" s="12" t="s">
        <v>2948</v>
      </c>
      <c r="E10" s="12" t="s">
        <v>2949</v>
      </c>
      <c r="F10" s="12" t="s">
        <v>2950</v>
      </c>
      <c r="G10" s="12" t="s">
        <v>2951</v>
      </c>
    </row>
    <row r="11" spans="1:7" x14ac:dyDescent="0.35">
      <c r="A11" s="10" t="s">
        <v>2952</v>
      </c>
      <c r="B11" s="10" t="s">
        <v>2947</v>
      </c>
      <c r="C11" s="10" t="s">
        <v>386</v>
      </c>
      <c r="D11" s="10" t="s">
        <v>2953</v>
      </c>
      <c r="E11" s="10" t="s">
        <v>2954</v>
      </c>
      <c r="F11" s="10" t="s">
        <v>187</v>
      </c>
      <c r="G11" s="10" t="s">
        <v>187</v>
      </c>
    </row>
    <row r="12" spans="1:7" ht="50" x14ac:dyDescent="0.35">
      <c r="A12" s="12" t="s">
        <v>2955</v>
      </c>
      <c r="B12" s="12" t="s">
        <v>2947</v>
      </c>
      <c r="C12" s="12" t="s">
        <v>386</v>
      </c>
      <c r="D12" s="12" t="s">
        <v>2956</v>
      </c>
      <c r="E12" s="12" t="s">
        <v>2957</v>
      </c>
      <c r="F12" s="12" t="s">
        <v>2958</v>
      </c>
      <c r="G12" s="12" t="s">
        <v>2959</v>
      </c>
    </row>
    <row r="13" spans="1:7" ht="62.5" x14ac:dyDescent="0.35">
      <c r="A13" s="10" t="s">
        <v>643</v>
      </c>
      <c r="B13" s="10" t="s">
        <v>2947</v>
      </c>
      <c r="C13" s="10" t="s">
        <v>386</v>
      </c>
      <c r="D13" s="10" t="s">
        <v>2960</v>
      </c>
      <c r="E13" s="10" t="s">
        <v>2961</v>
      </c>
      <c r="F13" s="10" t="s">
        <v>2962</v>
      </c>
      <c r="G13" s="10" t="s">
        <v>2963</v>
      </c>
    </row>
    <row r="14" spans="1:7" ht="87.5" x14ac:dyDescent="0.35">
      <c r="A14" s="12" t="s">
        <v>1007</v>
      </c>
      <c r="B14" s="12" t="s">
        <v>2947</v>
      </c>
      <c r="C14" s="12" t="s">
        <v>386</v>
      </c>
      <c r="D14" s="12" t="s">
        <v>2964</v>
      </c>
      <c r="E14" s="12" t="s">
        <v>2965</v>
      </c>
      <c r="F14" s="12" t="s">
        <v>2966</v>
      </c>
      <c r="G14" s="12" t="s">
        <v>2967</v>
      </c>
    </row>
    <row r="15" spans="1:7" ht="50" x14ac:dyDescent="0.35">
      <c r="A15" s="10" t="s">
        <v>2968</v>
      </c>
      <c r="B15" s="10" t="s">
        <v>2947</v>
      </c>
      <c r="C15" s="10" t="s">
        <v>386</v>
      </c>
      <c r="D15" s="10" t="s">
        <v>2969</v>
      </c>
      <c r="E15" s="10" t="s">
        <v>2970</v>
      </c>
      <c r="F15" s="10" t="s">
        <v>2971</v>
      </c>
      <c r="G15" s="10" t="s">
        <v>2972</v>
      </c>
    </row>
    <row r="16" spans="1:7" ht="62.5" x14ac:dyDescent="0.35">
      <c r="A16" s="12" t="s">
        <v>428</v>
      </c>
      <c r="B16" s="12" t="s">
        <v>2947</v>
      </c>
      <c r="C16" s="12" t="s">
        <v>386</v>
      </c>
      <c r="D16" s="12" t="s">
        <v>2973</v>
      </c>
      <c r="E16" s="12" t="s">
        <v>2974</v>
      </c>
      <c r="F16" s="12" t="s">
        <v>2975</v>
      </c>
      <c r="G16" s="12" t="s">
        <v>2976</v>
      </c>
    </row>
    <row r="17" spans="1:7" ht="75" x14ac:dyDescent="0.35">
      <c r="A17" s="10" t="s">
        <v>434</v>
      </c>
      <c r="B17" s="10" t="s">
        <v>2947</v>
      </c>
      <c r="C17" s="10" t="s">
        <v>386</v>
      </c>
      <c r="D17" s="10" t="s">
        <v>2977</v>
      </c>
      <c r="E17" s="10" t="s">
        <v>2978</v>
      </c>
      <c r="F17" s="10" t="s">
        <v>2979</v>
      </c>
      <c r="G17" s="10" t="s">
        <v>2980</v>
      </c>
    </row>
    <row r="18" spans="1:7" ht="75" x14ac:dyDescent="0.35">
      <c r="A18" s="12" t="s">
        <v>896</v>
      </c>
      <c r="B18" s="12" t="s">
        <v>2947</v>
      </c>
      <c r="C18" s="12" t="s">
        <v>386</v>
      </c>
      <c r="D18" s="12" t="s">
        <v>2981</v>
      </c>
      <c r="E18" s="12" t="s">
        <v>2982</v>
      </c>
      <c r="F18" s="12" t="s">
        <v>2983</v>
      </c>
      <c r="G18" s="12" t="s">
        <v>2984</v>
      </c>
    </row>
    <row r="19" spans="1:7" ht="75" x14ac:dyDescent="0.35">
      <c r="A19" s="10" t="s">
        <v>631</v>
      </c>
      <c r="B19" s="10" t="s">
        <v>2947</v>
      </c>
      <c r="C19" s="10" t="s">
        <v>386</v>
      </c>
      <c r="D19" s="10" t="s">
        <v>2985</v>
      </c>
      <c r="E19" s="10" t="s">
        <v>2986</v>
      </c>
      <c r="F19" s="10" t="s">
        <v>2987</v>
      </c>
      <c r="G19" s="10" t="s">
        <v>2988</v>
      </c>
    </row>
    <row r="20" spans="1:7" ht="62.5" x14ac:dyDescent="0.35">
      <c r="A20" s="12" t="s">
        <v>2989</v>
      </c>
      <c r="B20" s="12" t="s">
        <v>2947</v>
      </c>
      <c r="C20" s="12" t="s">
        <v>386</v>
      </c>
      <c r="D20" s="12" t="s">
        <v>2990</v>
      </c>
      <c r="E20" s="12" t="s">
        <v>2991</v>
      </c>
      <c r="F20" s="12" t="s">
        <v>2992</v>
      </c>
      <c r="G20" s="12" t="s">
        <v>2993</v>
      </c>
    </row>
    <row r="21" spans="1:7" ht="87.5" x14ac:dyDescent="0.35">
      <c r="A21" s="10" t="s">
        <v>2994</v>
      </c>
      <c r="B21" s="10" t="s">
        <v>2947</v>
      </c>
      <c r="C21" s="10" t="s">
        <v>386</v>
      </c>
      <c r="D21" s="10" t="s">
        <v>2995</v>
      </c>
      <c r="E21" s="10" t="s">
        <v>187</v>
      </c>
      <c r="F21" s="10" t="s">
        <v>2996</v>
      </c>
      <c r="G21" s="10" t="s">
        <v>2997</v>
      </c>
    </row>
    <row r="22" spans="1:7" ht="25" x14ac:dyDescent="0.35">
      <c r="A22" s="12" t="s">
        <v>2998</v>
      </c>
      <c r="B22" s="12" t="s">
        <v>2947</v>
      </c>
      <c r="C22" s="12" t="s">
        <v>386</v>
      </c>
      <c r="D22" s="12" t="s">
        <v>2999</v>
      </c>
      <c r="E22" s="12" t="s">
        <v>187</v>
      </c>
      <c r="F22" s="12" t="s">
        <v>3000</v>
      </c>
      <c r="G22" s="12" t="s">
        <v>3001</v>
      </c>
    </row>
    <row r="23" spans="1:7" ht="25" x14ac:dyDescent="0.35">
      <c r="A23" s="10" t="s">
        <v>3002</v>
      </c>
      <c r="B23" s="10" t="s">
        <v>3003</v>
      </c>
      <c r="C23" s="10" t="s">
        <v>3004</v>
      </c>
      <c r="D23" s="10" t="s">
        <v>3005</v>
      </c>
      <c r="E23" s="10" t="s">
        <v>3006</v>
      </c>
      <c r="F23" s="10" t="s">
        <v>3007</v>
      </c>
      <c r="G23" s="10" t="s">
        <v>3008</v>
      </c>
    </row>
    <row r="24" spans="1:7" ht="25" x14ac:dyDescent="0.35">
      <c r="A24" s="12" t="s">
        <v>3009</v>
      </c>
      <c r="B24" s="12" t="s">
        <v>3003</v>
      </c>
      <c r="C24" s="12" t="s">
        <v>3004</v>
      </c>
      <c r="D24" s="12" t="s">
        <v>3010</v>
      </c>
      <c r="E24" s="12" t="s">
        <v>3011</v>
      </c>
      <c r="F24" s="12" t="s">
        <v>3012</v>
      </c>
      <c r="G24" s="12" t="s">
        <v>3013</v>
      </c>
    </row>
    <row r="25" spans="1:7" ht="87.5" x14ac:dyDescent="0.35">
      <c r="A25" s="10" t="s">
        <v>1113</v>
      </c>
      <c r="B25" s="10" t="s">
        <v>3003</v>
      </c>
      <c r="C25" s="10" t="s">
        <v>3004</v>
      </c>
      <c r="D25" s="10" t="s">
        <v>3014</v>
      </c>
      <c r="E25" s="10" t="s">
        <v>3015</v>
      </c>
      <c r="F25" s="10" t="s">
        <v>3016</v>
      </c>
      <c r="G25" s="10" t="s">
        <v>3017</v>
      </c>
    </row>
    <row r="26" spans="1:7" ht="50" x14ac:dyDescent="0.35">
      <c r="A26" s="12" t="s">
        <v>3018</v>
      </c>
      <c r="B26" s="12" t="s">
        <v>3003</v>
      </c>
      <c r="C26" s="12" t="s">
        <v>3004</v>
      </c>
      <c r="D26" s="12" t="s">
        <v>3019</v>
      </c>
      <c r="E26" s="12" t="s">
        <v>3020</v>
      </c>
      <c r="F26" s="12" t="s">
        <v>3021</v>
      </c>
      <c r="G26" s="12" t="s">
        <v>3022</v>
      </c>
    </row>
    <row r="27" spans="1:7" ht="25" x14ac:dyDescent="0.35">
      <c r="A27" s="10" t="s">
        <v>3023</v>
      </c>
      <c r="B27" s="10" t="s">
        <v>3003</v>
      </c>
      <c r="C27" s="10" t="s">
        <v>3004</v>
      </c>
      <c r="D27" s="10" t="s">
        <v>2999</v>
      </c>
      <c r="E27" s="10" t="s">
        <v>187</v>
      </c>
      <c r="F27" s="10" t="s">
        <v>3000</v>
      </c>
      <c r="G27" s="10" t="s">
        <v>3001</v>
      </c>
    </row>
    <row r="28" spans="1:7" x14ac:dyDescent="0.35">
      <c r="A28" s="12" t="s">
        <v>1070</v>
      </c>
      <c r="B28" s="12" t="s">
        <v>3003</v>
      </c>
      <c r="C28" s="12" t="s">
        <v>3004</v>
      </c>
      <c r="D28" s="12" t="s">
        <v>3024</v>
      </c>
      <c r="E28" s="12" t="s">
        <v>187</v>
      </c>
      <c r="F28" s="12" t="s">
        <v>1069</v>
      </c>
      <c r="G28" s="12" t="s">
        <v>3025</v>
      </c>
    </row>
    <row r="29" spans="1:7" ht="25" x14ac:dyDescent="0.35">
      <c r="A29" s="10" t="s">
        <v>3026</v>
      </c>
      <c r="B29" s="10" t="s">
        <v>3027</v>
      </c>
      <c r="C29" s="10" t="s">
        <v>3028</v>
      </c>
      <c r="D29" s="10" t="s">
        <v>3029</v>
      </c>
      <c r="E29" s="10" t="s">
        <v>3030</v>
      </c>
      <c r="F29" s="10" t="s">
        <v>3031</v>
      </c>
      <c r="G29" s="10" t="s">
        <v>3032</v>
      </c>
    </row>
    <row r="30" spans="1:7" ht="25" x14ac:dyDescent="0.35">
      <c r="A30" s="12" t="s">
        <v>3033</v>
      </c>
      <c r="B30" s="12" t="s">
        <v>3027</v>
      </c>
      <c r="C30" s="12" t="s">
        <v>3028</v>
      </c>
      <c r="D30" s="12" t="s">
        <v>3034</v>
      </c>
      <c r="E30" s="12" t="s">
        <v>3035</v>
      </c>
      <c r="F30" s="12" t="s">
        <v>3036</v>
      </c>
      <c r="G30" s="12" t="s">
        <v>3037</v>
      </c>
    </row>
    <row r="31" spans="1:7" ht="100" x14ac:dyDescent="0.35">
      <c r="A31" s="10" t="s">
        <v>456</v>
      </c>
      <c r="B31" s="10" t="s">
        <v>3027</v>
      </c>
      <c r="C31" s="10" t="s">
        <v>3028</v>
      </c>
      <c r="D31" s="10" t="s">
        <v>3038</v>
      </c>
      <c r="E31" s="10" t="s">
        <v>3039</v>
      </c>
      <c r="F31" s="10" t="s">
        <v>3040</v>
      </c>
      <c r="G31" s="10" t="s">
        <v>3041</v>
      </c>
    </row>
    <row r="32" spans="1:7" ht="50" x14ac:dyDescent="0.35">
      <c r="A32" s="12" t="s">
        <v>3042</v>
      </c>
      <c r="B32" s="12" t="s">
        <v>3027</v>
      </c>
      <c r="C32" s="12" t="s">
        <v>3028</v>
      </c>
      <c r="D32" s="12" t="s">
        <v>3019</v>
      </c>
      <c r="E32" s="12" t="s">
        <v>3020</v>
      </c>
      <c r="F32" s="12" t="s">
        <v>3021</v>
      </c>
      <c r="G32" s="12" t="s">
        <v>3022</v>
      </c>
    </row>
    <row r="33" spans="1:7" ht="25" x14ac:dyDescent="0.35">
      <c r="A33" s="10" t="s">
        <v>3043</v>
      </c>
      <c r="B33" s="10" t="s">
        <v>3027</v>
      </c>
      <c r="C33" s="10" t="s">
        <v>3028</v>
      </c>
      <c r="D33" s="10" t="s">
        <v>2999</v>
      </c>
      <c r="E33" s="10" t="s">
        <v>187</v>
      </c>
      <c r="F33" s="10" t="s">
        <v>3000</v>
      </c>
      <c r="G33" s="10" t="s">
        <v>3001</v>
      </c>
    </row>
    <row r="34" spans="1:7" ht="25" x14ac:dyDescent="0.35">
      <c r="A34" s="12" t="s">
        <v>494</v>
      </c>
      <c r="B34" s="12" t="s">
        <v>3027</v>
      </c>
      <c r="C34" s="12" t="s">
        <v>3028</v>
      </c>
      <c r="D34" s="12" t="s">
        <v>3044</v>
      </c>
      <c r="E34" s="12" t="s">
        <v>187</v>
      </c>
      <c r="F34" s="12" t="s">
        <v>493</v>
      </c>
      <c r="G34" s="12" t="s">
        <v>3045</v>
      </c>
    </row>
    <row r="35" spans="1:7" ht="50" x14ac:dyDescent="0.35">
      <c r="A35" s="10" t="s">
        <v>3046</v>
      </c>
      <c r="B35" s="10" t="s">
        <v>3047</v>
      </c>
      <c r="C35" s="10" t="s">
        <v>397</v>
      </c>
      <c r="D35" s="10" t="s">
        <v>3048</v>
      </c>
      <c r="E35" s="10" t="s">
        <v>3049</v>
      </c>
      <c r="F35" s="10" t="s">
        <v>3050</v>
      </c>
      <c r="G35" s="10" t="s">
        <v>3051</v>
      </c>
    </row>
    <row r="36" spans="1:7" ht="37.5" x14ac:dyDescent="0.35">
      <c r="A36" s="12" t="s">
        <v>1189</v>
      </c>
      <c r="B36" s="12" t="s">
        <v>3047</v>
      </c>
      <c r="C36" s="12" t="s">
        <v>397</v>
      </c>
      <c r="D36" s="12" t="s">
        <v>3052</v>
      </c>
      <c r="E36" s="12" t="s">
        <v>3053</v>
      </c>
      <c r="F36" s="12" t="s">
        <v>3054</v>
      </c>
      <c r="G36" s="12" t="s">
        <v>3055</v>
      </c>
    </row>
    <row r="37" spans="1:7" x14ac:dyDescent="0.35">
      <c r="A37" s="10" t="s">
        <v>1174</v>
      </c>
      <c r="B37" s="10" t="s">
        <v>3047</v>
      </c>
      <c r="C37" s="10" t="s">
        <v>397</v>
      </c>
      <c r="D37" s="10" t="s">
        <v>3056</v>
      </c>
      <c r="E37" s="10" t="s">
        <v>1733</v>
      </c>
      <c r="F37" s="10" t="s">
        <v>1173</v>
      </c>
      <c r="G37" s="10" t="s">
        <v>3057</v>
      </c>
    </row>
    <row r="38" spans="1:7" ht="25" x14ac:dyDescent="0.35">
      <c r="A38" s="12" t="s">
        <v>1181</v>
      </c>
      <c r="B38" s="12" t="s">
        <v>3047</v>
      </c>
      <c r="C38" s="12" t="s">
        <v>397</v>
      </c>
      <c r="D38" s="12" t="s">
        <v>3058</v>
      </c>
      <c r="E38" s="12" t="s">
        <v>3059</v>
      </c>
      <c r="F38" s="12" t="s">
        <v>3060</v>
      </c>
      <c r="G38" s="12" t="s">
        <v>3061</v>
      </c>
    </row>
    <row r="39" spans="1:7" x14ac:dyDescent="0.35">
      <c r="A39" s="10" t="s">
        <v>3062</v>
      </c>
      <c r="B39" s="10" t="s">
        <v>3047</v>
      </c>
      <c r="C39" s="10" t="s">
        <v>397</v>
      </c>
      <c r="D39" s="10" t="s">
        <v>3063</v>
      </c>
      <c r="E39" s="10" t="s">
        <v>3064</v>
      </c>
      <c r="F39" s="10" t="s">
        <v>1200</v>
      </c>
      <c r="G39" s="10" t="s">
        <v>3065</v>
      </c>
    </row>
    <row r="40" spans="1:7" ht="37.5" x14ac:dyDescent="0.35">
      <c r="A40" s="12" t="s">
        <v>1221</v>
      </c>
      <c r="B40" s="12" t="s">
        <v>3047</v>
      </c>
      <c r="C40" s="12" t="s">
        <v>397</v>
      </c>
      <c r="D40" s="12" t="s">
        <v>3066</v>
      </c>
      <c r="E40" s="12" t="s">
        <v>3067</v>
      </c>
      <c r="F40" s="12" t="s">
        <v>3068</v>
      </c>
      <c r="G40" s="12" t="s">
        <v>3069</v>
      </c>
    </row>
    <row r="41" spans="1:7" ht="25" x14ac:dyDescent="0.35">
      <c r="A41" s="10" t="s">
        <v>418</v>
      </c>
      <c r="B41" s="10" t="s">
        <v>3047</v>
      </c>
      <c r="C41" s="10" t="s">
        <v>397</v>
      </c>
      <c r="D41" s="10" t="s">
        <v>3070</v>
      </c>
      <c r="E41" s="10" t="s">
        <v>3071</v>
      </c>
      <c r="F41" s="10" t="s">
        <v>3072</v>
      </c>
      <c r="G41" s="10" t="s">
        <v>3073</v>
      </c>
    </row>
    <row r="42" spans="1:7" ht="50" x14ac:dyDescent="0.35">
      <c r="A42" s="12" t="s">
        <v>3074</v>
      </c>
      <c r="B42" s="12" t="s">
        <v>3047</v>
      </c>
      <c r="C42" s="12" t="s">
        <v>397</v>
      </c>
      <c r="D42" s="12" t="s">
        <v>3075</v>
      </c>
      <c r="E42" s="12" t="s">
        <v>187</v>
      </c>
      <c r="F42" s="12" t="s">
        <v>3076</v>
      </c>
      <c r="G42" s="12" t="s">
        <v>3077</v>
      </c>
    </row>
    <row r="43" spans="1:7" ht="25" x14ac:dyDescent="0.35">
      <c r="A43" s="10" t="s">
        <v>3078</v>
      </c>
      <c r="B43" s="10" t="s">
        <v>3047</v>
      </c>
      <c r="C43" s="10" t="s">
        <v>397</v>
      </c>
      <c r="D43" s="10" t="s">
        <v>3079</v>
      </c>
      <c r="E43" s="10" t="s">
        <v>3080</v>
      </c>
      <c r="F43" s="10" t="s">
        <v>3081</v>
      </c>
      <c r="G43" s="10" t="s">
        <v>3082</v>
      </c>
    </row>
    <row r="44" spans="1:7" ht="62.5" x14ac:dyDescent="0.35">
      <c r="A44" s="12" t="s">
        <v>1030</v>
      </c>
      <c r="B44" s="12" t="s">
        <v>3047</v>
      </c>
      <c r="C44" s="12" t="s">
        <v>397</v>
      </c>
      <c r="D44" s="12" t="s">
        <v>3083</v>
      </c>
      <c r="E44" s="12" t="s">
        <v>3084</v>
      </c>
      <c r="F44" s="12" t="s">
        <v>3085</v>
      </c>
      <c r="G44" s="12" t="s">
        <v>3086</v>
      </c>
    </row>
    <row r="45" spans="1:7" ht="25" x14ac:dyDescent="0.35">
      <c r="A45" s="10" t="s">
        <v>3087</v>
      </c>
      <c r="B45" s="10" t="s">
        <v>3047</v>
      </c>
      <c r="C45" s="10" t="s">
        <v>397</v>
      </c>
      <c r="D45" s="10" t="s">
        <v>3088</v>
      </c>
      <c r="E45" s="10" t="s">
        <v>3089</v>
      </c>
      <c r="F45" s="10" t="s">
        <v>3090</v>
      </c>
      <c r="G45" s="10" t="s">
        <v>3091</v>
      </c>
    </row>
    <row r="46" spans="1:7" ht="75" x14ac:dyDescent="0.35">
      <c r="A46" s="12" t="s">
        <v>470</v>
      </c>
      <c r="B46" s="12" t="s">
        <v>3047</v>
      </c>
      <c r="C46" s="12" t="s">
        <v>397</v>
      </c>
      <c r="D46" s="12" t="s">
        <v>3092</v>
      </c>
      <c r="E46" s="12" t="s">
        <v>3093</v>
      </c>
      <c r="F46" s="12" t="s">
        <v>3094</v>
      </c>
      <c r="G46" s="12" t="s">
        <v>3095</v>
      </c>
    </row>
    <row r="47" spans="1:7" ht="62.5" x14ac:dyDescent="0.35">
      <c r="A47" s="10" t="s">
        <v>1422</v>
      </c>
      <c r="B47" s="10" t="s">
        <v>3047</v>
      </c>
      <c r="C47" s="10" t="s">
        <v>397</v>
      </c>
      <c r="D47" s="10" t="s">
        <v>3096</v>
      </c>
      <c r="E47" s="10" t="s">
        <v>3097</v>
      </c>
      <c r="F47" s="10" t="s">
        <v>3098</v>
      </c>
      <c r="G47" s="10" t="s">
        <v>3099</v>
      </c>
    </row>
    <row r="48" spans="1:7" ht="62.5" x14ac:dyDescent="0.35">
      <c r="A48" s="12" t="s">
        <v>1291</v>
      </c>
      <c r="B48" s="12" t="s">
        <v>3047</v>
      </c>
      <c r="C48" s="12" t="s">
        <v>397</v>
      </c>
      <c r="D48" s="12" t="s">
        <v>3100</v>
      </c>
      <c r="E48" s="12" t="s">
        <v>3101</v>
      </c>
      <c r="F48" s="12" t="s">
        <v>3102</v>
      </c>
      <c r="G48" s="12" t="s">
        <v>3103</v>
      </c>
    </row>
    <row r="49" spans="1:7" ht="62.5" x14ac:dyDescent="0.35">
      <c r="A49" s="10" t="s">
        <v>1208</v>
      </c>
      <c r="B49" s="10" t="s">
        <v>3047</v>
      </c>
      <c r="C49" s="10" t="s">
        <v>397</v>
      </c>
      <c r="D49" s="10" t="s">
        <v>3104</v>
      </c>
      <c r="E49" s="10" t="s">
        <v>187</v>
      </c>
      <c r="F49" s="10" t="s">
        <v>3105</v>
      </c>
      <c r="G49" s="10" t="s">
        <v>3106</v>
      </c>
    </row>
    <row r="50" spans="1:7" ht="87.5" x14ac:dyDescent="0.35">
      <c r="A50" s="12" t="s">
        <v>594</v>
      </c>
      <c r="B50" s="12" t="s">
        <v>3047</v>
      </c>
      <c r="C50" s="12" t="s">
        <v>397</v>
      </c>
      <c r="D50" s="12" t="s">
        <v>3107</v>
      </c>
      <c r="E50" s="12" t="s">
        <v>3108</v>
      </c>
      <c r="F50" s="12" t="s">
        <v>3109</v>
      </c>
      <c r="G50" s="12" t="s">
        <v>3110</v>
      </c>
    </row>
    <row r="51" spans="1:7" ht="50" x14ac:dyDescent="0.35">
      <c r="A51" s="10" t="s">
        <v>702</v>
      </c>
      <c r="B51" s="10" t="s">
        <v>3047</v>
      </c>
      <c r="C51" s="10" t="s">
        <v>397</v>
      </c>
      <c r="D51" s="10" t="s">
        <v>3111</v>
      </c>
      <c r="E51" s="10" t="s">
        <v>3112</v>
      </c>
      <c r="F51" s="10" t="s">
        <v>3113</v>
      </c>
      <c r="G51" s="10" t="s">
        <v>3114</v>
      </c>
    </row>
    <row r="52" spans="1:7" ht="75" x14ac:dyDescent="0.35">
      <c r="A52" s="12" t="s">
        <v>767</v>
      </c>
      <c r="B52" s="12" t="s">
        <v>3047</v>
      </c>
      <c r="C52" s="12" t="s">
        <v>397</v>
      </c>
      <c r="D52" s="12" t="s">
        <v>3115</v>
      </c>
      <c r="E52" s="12" t="s">
        <v>3116</v>
      </c>
      <c r="F52" s="12" t="s">
        <v>3117</v>
      </c>
      <c r="G52" s="12" t="s">
        <v>3118</v>
      </c>
    </row>
    <row r="53" spans="1:7" x14ac:dyDescent="0.35">
      <c r="A53" s="10" t="s">
        <v>3119</v>
      </c>
      <c r="B53" s="10" t="s">
        <v>3047</v>
      </c>
      <c r="C53" s="10" t="s">
        <v>397</v>
      </c>
      <c r="D53" s="10" t="s">
        <v>3120</v>
      </c>
      <c r="E53" s="10" t="s">
        <v>3121</v>
      </c>
      <c r="F53" s="10" t="s">
        <v>1540</v>
      </c>
      <c r="G53" s="10" t="s">
        <v>3122</v>
      </c>
    </row>
    <row r="54" spans="1:7" ht="87.5" x14ac:dyDescent="0.35">
      <c r="A54" s="12" t="s">
        <v>3123</v>
      </c>
      <c r="B54" s="12" t="s">
        <v>3047</v>
      </c>
      <c r="C54" s="12" t="s">
        <v>397</v>
      </c>
      <c r="D54" s="12" t="s">
        <v>2995</v>
      </c>
      <c r="E54" s="12" t="s">
        <v>187</v>
      </c>
      <c r="F54" s="12" t="s">
        <v>2996</v>
      </c>
      <c r="G54" s="12" t="s">
        <v>2997</v>
      </c>
    </row>
    <row r="55" spans="1:7" ht="50" x14ac:dyDescent="0.35">
      <c r="A55" s="10" t="s">
        <v>846</v>
      </c>
      <c r="B55" s="10" t="s">
        <v>3047</v>
      </c>
      <c r="C55" s="10" t="s">
        <v>397</v>
      </c>
      <c r="D55" s="10" t="s">
        <v>3124</v>
      </c>
      <c r="E55" s="10" t="s">
        <v>3125</v>
      </c>
      <c r="F55" s="10" t="s">
        <v>3126</v>
      </c>
      <c r="G55" s="10" t="s">
        <v>3127</v>
      </c>
    </row>
    <row r="56" spans="1:7" ht="25" x14ac:dyDescent="0.35">
      <c r="A56" s="12" t="s">
        <v>3128</v>
      </c>
      <c r="B56" s="12" t="s">
        <v>3047</v>
      </c>
      <c r="C56" s="12" t="s">
        <v>397</v>
      </c>
      <c r="D56" s="12" t="s">
        <v>2999</v>
      </c>
      <c r="E56" s="12" t="s">
        <v>187</v>
      </c>
      <c r="F56" s="12" t="s">
        <v>3000</v>
      </c>
      <c r="G56" s="12" t="s">
        <v>3001</v>
      </c>
    </row>
    <row r="57" spans="1:7" ht="25" x14ac:dyDescent="0.35">
      <c r="A57" s="10" t="s">
        <v>3129</v>
      </c>
      <c r="B57" s="10" t="s">
        <v>3047</v>
      </c>
      <c r="C57" s="10" t="s">
        <v>397</v>
      </c>
      <c r="D57" s="10" t="s">
        <v>2999</v>
      </c>
      <c r="E57" s="10" t="s">
        <v>187</v>
      </c>
      <c r="F57" s="10" t="s">
        <v>3000</v>
      </c>
      <c r="G57" s="10" t="s">
        <v>3001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</sheetPr>
  <dimension ref="A1:P19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3130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44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46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3134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3136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3138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45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3140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50" x14ac:dyDescent="0.35">
      <c r="A13" s="10" t="s">
        <v>155</v>
      </c>
      <c r="B13" s="10" t="s">
        <v>54</v>
      </c>
      <c r="C13" s="10" t="s">
        <v>3153</v>
      </c>
      <c r="D13" s="10" t="s">
        <v>3154</v>
      </c>
      <c r="E13" s="10" t="s">
        <v>3155</v>
      </c>
      <c r="F13" s="13" t="s">
        <v>289</v>
      </c>
      <c r="G13" s="10" t="s">
        <v>290</v>
      </c>
      <c r="H13" s="10" t="s">
        <v>3156</v>
      </c>
      <c r="I13" s="10" t="s">
        <v>3157</v>
      </c>
      <c r="J13" s="10" t="s">
        <v>296</v>
      </c>
      <c r="K13" s="10" t="s">
        <v>3158</v>
      </c>
      <c r="L13" s="10" t="s">
        <v>3159</v>
      </c>
      <c r="M13" s="10" t="s">
        <v>3160</v>
      </c>
      <c r="N13" s="10" t="s">
        <v>3161</v>
      </c>
      <c r="O13" s="10" t="s">
        <v>3162</v>
      </c>
      <c r="P13" s="10" t="s">
        <v>3163</v>
      </c>
    </row>
    <row r="14" spans="1:16" ht="37.5" x14ac:dyDescent="0.35">
      <c r="A14" s="12" t="s">
        <v>156</v>
      </c>
      <c r="B14" s="12" t="s">
        <v>54</v>
      </c>
      <c r="C14" s="12" t="s">
        <v>3164</v>
      </c>
      <c r="D14" s="12" t="s">
        <v>3165</v>
      </c>
      <c r="E14" s="12" t="s">
        <v>3166</v>
      </c>
      <c r="F14" s="13" t="s">
        <v>289</v>
      </c>
      <c r="G14" s="12" t="s">
        <v>302</v>
      </c>
      <c r="H14" s="12" t="s">
        <v>196</v>
      </c>
      <c r="I14" s="12" t="s">
        <v>3167</v>
      </c>
      <c r="J14" s="12" t="s">
        <v>304</v>
      </c>
      <c r="K14" s="12" t="s">
        <v>3168</v>
      </c>
      <c r="L14" s="12" t="s">
        <v>3169</v>
      </c>
      <c r="M14" s="12" t="s">
        <v>3170</v>
      </c>
      <c r="N14" s="12" t="s">
        <v>187</v>
      </c>
      <c r="O14" s="12" t="s">
        <v>3171</v>
      </c>
      <c r="P14" s="12" t="s">
        <v>3172</v>
      </c>
    </row>
    <row r="15" spans="1:16" ht="25" x14ac:dyDescent="0.35">
      <c r="A15" s="10" t="s">
        <v>157</v>
      </c>
      <c r="B15" s="10" t="s">
        <v>3173</v>
      </c>
      <c r="C15" s="10" t="s">
        <v>3174</v>
      </c>
      <c r="D15" s="10" t="s">
        <v>3175</v>
      </c>
      <c r="E15" s="10" t="s">
        <v>3176</v>
      </c>
      <c r="F15" s="14" t="s">
        <v>326</v>
      </c>
      <c r="G15" s="10" t="s">
        <v>327</v>
      </c>
      <c r="H15" s="10" t="s">
        <v>196</v>
      </c>
      <c r="I15" s="10" t="s">
        <v>3177</v>
      </c>
      <c r="J15" s="10" t="s">
        <v>3178</v>
      </c>
      <c r="K15" s="10" t="s">
        <v>3179</v>
      </c>
      <c r="L15" s="10" t="s">
        <v>187</v>
      </c>
      <c r="M15" s="10" t="s">
        <v>2375</v>
      </c>
      <c r="N15" s="10" t="s">
        <v>187</v>
      </c>
      <c r="O15" s="10" t="s">
        <v>187</v>
      </c>
      <c r="P15" s="10" t="s">
        <v>3180</v>
      </c>
    </row>
    <row r="16" spans="1:16" ht="25" x14ac:dyDescent="0.35">
      <c r="A16" s="12" t="s">
        <v>158</v>
      </c>
      <c r="B16" s="12" t="s">
        <v>3173</v>
      </c>
      <c r="C16" s="12" t="s">
        <v>3181</v>
      </c>
      <c r="D16" s="12" t="s">
        <v>3182</v>
      </c>
      <c r="E16" s="12" t="s">
        <v>3183</v>
      </c>
      <c r="F16" s="13" t="s">
        <v>289</v>
      </c>
      <c r="G16" s="12" t="s">
        <v>310</v>
      </c>
      <c r="H16" s="12" t="s">
        <v>196</v>
      </c>
      <c r="I16" s="12" t="s">
        <v>3184</v>
      </c>
      <c r="J16" s="12" t="s">
        <v>312</v>
      </c>
      <c r="K16" s="12" t="s">
        <v>3185</v>
      </c>
      <c r="L16" s="12" t="s">
        <v>187</v>
      </c>
      <c r="M16" s="12" t="s">
        <v>3186</v>
      </c>
      <c r="N16" s="12" t="s">
        <v>187</v>
      </c>
      <c r="O16" s="12" t="s">
        <v>187</v>
      </c>
      <c r="P16" s="12" t="s">
        <v>3187</v>
      </c>
    </row>
    <row r="17" spans="1:16" ht="26" x14ac:dyDescent="0.35">
      <c r="A17" s="10" t="s">
        <v>159</v>
      </c>
      <c r="B17" s="10" t="s">
        <v>54</v>
      </c>
      <c r="C17" s="10" t="s">
        <v>3188</v>
      </c>
      <c r="D17" s="10" t="s">
        <v>3189</v>
      </c>
      <c r="E17" s="10" t="s">
        <v>3190</v>
      </c>
      <c r="F17" s="14" t="s">
        <v>3191</v>
      </c>
      <c r="G17" s="10" t="s">
        <v>3192</v>
      </c>
      <c r="H17" s="10" t="s">
        <v>196</v>
      </c>
      <c r="I17" s="10" t="s">
        <v>3193</v>
      </c>
      <c r="J17" s="10" t="s">
        <v>3190</v>
      </c>
      <c r="K17" s="10" t="s">
        <v>3194</v>
      </c>
      <c r="L17" s="10" t="s">
        <v>187</v>
      </c>
      <c r="M17" s="10" t="s">
        <v>3170</v>
      </c>
      <c r="N17" s="10" t="s">
        <v>3195</v>
      </c>
      <c r="O17" s="10" t="s">
        <v>187</v>
      </c>
      <c r="P17" s="10" t="s">
        <v>3196</v>
      </c>
    </row>
    <row r="18" spans="1:16" x14ac:dyDescent="0.35">
      <c r="A18" s="12" t="s">
        <v>160</v>
      </c>
      <c r="B18" s="12" t="s">
        <v>54</v>
      </c>
      <c r="C18" s="12" t="s">
        <v>3197</v>
      </c>
      <c r="D18" s="12" t="s">
        <v>3198</v>
      </c>
      <c r="E18" s="12" t="s">
        <v>3199</v>
      </c>
      <c r="F18" s="13" t="s">
        <v>289</v>
      </c>
      <c r="G18" s="12" t="s">
        <v>317</v>
      </c>
      <c r="H18" s="12" t="s">
        <v>196</v>
      </c>
      <c r="I18" s="12" t="s">
        <v>3200</v>
      </c>
      <c r="J18" s="12" t="s">
        <v>322</v>
      </c>
      <c r="K18" s="12" t="s">
        <v>3201</v>
      </c>
      <c r="L18" s="12" t="s">
        <v>187</v>
      </c>
      <c r="M18" s="12" t="s">
        <v>3186</v>
      </c>
      <c r="N18" s="12" t="s">
        <v>3202</v>
      </c>
      <c r="O18" s="12" t="s">
        <v>187</v>
      </c>
      <c r="P18" s="12" t="s">
        <v>3203</v>
      </c>
    </row>
    <row r="19" spans="1:16" ht="37.5" x14ac:dyDescent="0.35">
      <c r="A19" s="10" t="s">
        <v>161</v>
      </c>
      <c r="B19" s="10" t="s">
        <v>3204</v>
      </c>
      <c r="C19" s="10" t="s">
        <v>3205</v>
      </c>
      <c r="D19" s="10" t="s">
        <v>3206</v>
      </c>
      <c r="E19" s="10" t="s">
        <v>3207</v>
      </c>
      <c r="F19" s="13" t="s">
        <v>289</v>
      </c>
      <c r="G19" s="10" t="s">
        <v>3208</v>
      </c>
      <c r="H19" s="10" t="s">
        <v>196</v>
      </c>
      <c r="I19" s="10" t="s">
        <v>3209</v>
      </c>
      <c r="J19" s="10" t="s">
        <v>3210</v>
      </c>
      <c r="K19" s="10" t="s">
        <v>3211</v>
      </c>
      <c r="L19" s="10" t="s">
        <v>3212</v>
      </c>
      <c r="M19" s="10" t="s">
        <v>3213</v>
      </c>
      <c r="N19" s="10" t="s">
        <v>187</v>
      </c>
      <c r="O19" s="10" t="s">
        <v>3214</v>
      </c>
      <c r="P19" s="10" t="s">
        <v>3215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0A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5B6"/>
  </sheetPr>
  <dimension ref="A1:P15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3216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49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51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3217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3218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3219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50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3220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2942</v>
      </c>
      <c r="C13" s="10" t="s">
        <v>3221</v>
      </c>
      <c r="D13" s="10" t="s">
        <v>3222</v>
      </c>
      <c r="E13" s="10" t="s">
        <v>3223</v>
      </c>
      <c r="F13" s="14" t="s">
        <v>326</v>
      </c>
      <c r="G13" s="10" t="s">
        <v>1138</v>
      </c>
      <c r="H13" s="10" t="s">
        <v>3224</v>
      </c>
      <c r="I13" s="10" t="s">
        <v>3225</v>
      </c>
      <c r="J13" s="10" t="s">
        <v>1140</v>
      </c>
      <c r="K13" s="10" t="s">
        <v>3226</v>
      </c>
      <c r="L13" s="10" t="s">
        <v>187</v>
      </c>
      <c r="M13" s="10" t="s">
        <v>3227</v>
      </c>
      <c r="N13" s="10" t="s">
        <v>187</v>
      </c>
      <c r="O13" s="10" t="s">
        <v>187</v>
      </c>
      <c r="P13" s="10" t="s">
        <v>3228</v>
      </c>
    </row>
    <row r="14" spans="1:16" ht="25" x14ac:dyDescent="0.35">
      <c r="A14" s="12" t="s">
        <v>156</v>
      </c>
      <c r="B14" s="12" t="s">
        <v>2942</v>
      </c>
      <c r="C14" s="12" t="s">
        <v>3229</v>
      </c>
      <c r="D14" s="12" t="s">
        <v>3230</v>
      </c>
      <c r="E14" s="12" t="s">
        <v>3231</v>
      </c>
      <c r="F14" s="14" t="s">
        <v>326</v>
      </c>
      <c r="G14" s="12" t="s">
        <v>1146</v>
      </c>
      <c r="H14" s="12" t="s">
        <v>208</v>
      </c>
      <c r="I14" s="12" t="s">
        <v>3232</v>
      </c>
      <c r="J14" s="12" t="s">
        <v>1148</v>
      </c>
      <c r="K14" s="12" t="s">
        <v>3233</v>
      </c>
      <c r="L14" s="12" t="s">
        <v>187</v>
      </c>
      <c r="M14" s="12" t="s">
        <v>2375</v>
      </c>
      <c r="N14" s="12" t="s">
        <v>187</v>
      </c>
      <c r="O14" s="12" t="s">
        <v>187</v>
      </c>
      <c r="P14" s="12" t="s">
        <v>3234</v>
      </c>
    </row>
    <row r="15" spans="1:16" ht="37.5" x14ac:dyDescent="0.35">
      <c r="A15" s="10" t="s">
        <v>157</v>
      </c>
      <c r="B15" s="10" t="s">
        <v>2942</v>
      </c>
      <c r="C15" s="10" t="s">
        <v>3235</v>
      </c>
      <c r="D15" s="10" t="s">
        <v>3236</v>
      </c>
      <c r="E15" s="10" t="s">
        <v>3237</v>
      </c>
      <c r="F15" s="14" t="s">
        <v>326</v>
      </c>
      <c r="G15" s="10" t="s">
        <v>1163</v>
      </c>
      <c r="H15" s="10" t="s">
        <v>208</v>
      </c>
      <c r="I15" s="10" t="s">
        <v>3238</v>
      </c>
      <c r="J15" s="10" t="s">
        <v>3239</v>
      </c>
      <c r="K15" s="10" t="s">
        <v>3240</v>
      </c>
      <c r="L15" s="10" t="s">
        <v>187</v>
      </c>
      <c r="M15" s="10" t="s">
        <v>2375</v>
      </c>
      <c r="N15" s="10" t="s">
        <v>187</v>
      </c>
      <c r="O15" s="10" t="s">
        <v>187</v>
      </c>
      <c r="P15" s="10" t="s">
        <v>3241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0B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5B6"/>
  </sheetPr>
  <dimension ref="A1:P15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3242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54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56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3243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3244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3245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55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3246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54</v>
      </c>
      <c r="C13" s="10" t="s">
        <v>3247</v>
      </c>
      <c r="D13" s="10" t="s">
        <v>3248</v>
      </c>
      <c r="E13" s="10" t="s">
        <v>3249</v>
      </c>
      <c r="F13" s="14" t="s">
        <v>326</v>
      </c>
      <c r="G13" s="10" t="s">
        <v>327</v>
      </c>
      <c r="H13" s="10" t="s">
        <v>196</v>
      </c>
      <c r="I13" s="10" t="s">
        <v>3177</v>
      </c>
      <c r="J13" s="10" t="s">
        <v>3178</v>
      </c>
      <c r="K13" s="10" t="s">
        <v>3250</v>
      </c>
      <c r="L13" s="10" t="s">
        <v>187</v>
      </c>
      <c r="M13" s="10" t="s">
        <v>3251</v>
      </c>
      <c r="N13" s="10" t="s">
        <v>187</v>
      </c>
      <c r="O13" s="10" t="s">
        <v>187</v>
      </c>
      <c r="P13" s="10" t="s">
        <v>3252</v>
      </c>
    </row>
    <row r="14" spans="1:16" ht="37.5" x14ac:dyDescent="0.35">
      <c r="A14" s="12" t="s">
        <v>156</v>
      </c>
      <c r="B14" s="12" t="s">
        <v>54</v>
      </c>
      <c r="C14" s="12" t="s">
        <v>2952</v>
      </c>
      <c r="D14" s="12" t="s">
        <v>3253</v>
      </c>
      <c r="E14" s="12" t="s">
        <v>3254</v>
      </c>
      <c r="F14" s="12" t="s">
        <v>187</v>
      </c>
      <c r="G14" s="12" t="s">
        <v>3255</v>
      </c>
      <c r="H14" s="12" t="s">
        <v>3256</v>
      </c>
      <c r="I14" s="12" t="s">
        <v>3257</v>
      </c>
      <c r="J14" s="12" t="s">
        <v>3258</v>
      </c>
      <c r="K14" s="12" t="s">
        <v>3259</v>
      </c>
      <c r="L14" s="12" t="s">
        <v>187</v>
      </c>
      <c r="M14" s="12" t="s">
        <v>3260</v>
      </c>
      <c r="N14" s="12" t="s">
        <v>187</v>
      </c>
      <c r="O14" s="12" t="s">
        <v>187</v>
      </c>
      <c r="P14" s="12" t="s">
        <v>3261</v>
      </c>
    </row>
    <row r="15" spans="1:16" ht="37.5" x14ac:dyDescent="0.35">
      <c r="A15" s="10" t="s">
        <v>157</v>
      </c>
      <c r="B15" s="10" t="s">
        <v>54</v>
      </c>
      <c r="C15" s="10" t="s">
        <v>3262</v>
      </c>
      <c r="D15" s="10" t="s">
        <v>3263</v>
      </c>
      <c r="E15" s="10" t="s">
        <v>3264</v>
      </c>
      <c r="F15" s="14" t="s">
        <v>326</v>
      </c>
      <c r="G15" s="10" t="s">
        <v>848</v>
      </c>
      <c r="H15" s="10" t="s">
        <v>3265</v>
      </c>
      <c r="I15" s="10" t="s">
        <v>3266</v>
      </c>
      <c r="J15" s="10" t="s">
        <v>850</v>
      </c>
      <c r="K15" s="10" t="s">
        <v>3267</v>
      </c>
      <c r="L15" s="10" t="s">
        <v>187</v>
      </c>
      <c r="M15" s="10" t="s">
        <v>3268</v>
      </c>
      <c r="N15" s="10" t="s">
        <v>187</v>
      </c>
      <c r="O15" s="10" t="s">
        <v>187</v>
      </c>
      <c r="P15" s="10" t="s">
        <v>3269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0C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5B6"/>
  </sheetPr>
  <dimension ref="A1:P16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3270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54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60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3271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3272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3273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59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3274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37.5" x14ac:dyDescent="0.35">
      <c r="A13" s="10" t="s">
        <v>155</v>
      </c>
      <c r="B13" s="10" t="s">
        <v>54</v>
      </c>
      <c r="C13" s="10" t="s">
        <v>3275</v>
      </c>
      <c r="D13" s="10" t="s">
        <v>3276</v>
      </c>
      <c r="E13" s="10" t="s">
        <v>3277</v>
      </c>
      <c r="F13" s="14" t="s">
        <v>326</v>
      </c>
      <c r="G13" s="10" t="s">
        <v>3278</v>
      </c>
      <c r="H13" s="10" t="s">
        <v>3279</v>
      </c>
      <c r="I13" s="10" t="s">
        <v>3280</v>
      </c>
      <c r="J13" s="10" t="s">
        <v>3281</v>
      </c>
      <c r="K13" s="10" t="s">
        <v>3282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3283</v>
      </c>
    </row>
    <row r="14" spans="1:16" ht="62.5" x14ac:dyDescent="0.35">
      <c r="A14" s="12" t="s">
        <v>156</v>
      </c>
      <c r="B14" s="12" t="s">
        <v>54</v>
      </c>
      <c r="C14" s="12" t="s">
        <v>631</v>
      </c>
      <c r="D14" s="12" t="s">
        <v>3284</v>
      </c>
      <c r="E14" s="12" t="s">
        <v>3285</v>
      </c>
      <c r="F14" s="13" t="s">
        <v>289</v>
      </c>
      <c r="G14" s="12" t="s">
        <v>626</v>
      </c>
      <c r="H14" s="12" t="s">
        <v>3286</v>
      </c>
      <c r="I14" s="12" t="s">
        <v>3287</v>
      </c>
      <c r="J14" s="12" t="s">
        <v>3288</v>
      </c>
      <c r="K14" s="12" t="s">
        <v>3289</v>
      </c>
      <c r="L14" s="12" t="s">
        <v>3290</v>
      </c>
      <c r="M14" s="12" t="s">
        <v>2808</v>
      </c>
      <c r="N14" s="12" t="s">
        <v>3291</v>
      </c>
      <c r="O14" s="12" t="s">
        <v>3292</v>
      </c>
      <c r="P14" s="12" t="s">
        <v>3293</v>
      </c>
    </row>
    <row r="15" spans="1:16" ht="25" x14ac:dyDescent="0.35">
      <c r="A15" s="10" t="s">
        <v>157</v>
      </c>
      <c r="B15" s="10" t="s">
        <v>54</v>
      </c>
      <c r="C15" s="10" t="s">
        <v>631</v>
      </c>
      <c r="D15" s="10" t="s">
        <v>3294</v>
      </c>
      <c r="E15" s="10" t="s">
        <v>3295</v>
      </c>
      <c r="F15" s="16" t="s">
        <v>385</v>
      </c>
      <c r="G15" s="10" t="s">
        <v>645</v>
      </c>
      <c r="H15" s="10" t="s">
        <v>246</v>
      </c>
      <c r="I15" s="10" t="s">
        <v>3296</v>
      </c>
      <c r="J15" s="10" t="s">
        <v>647</v>
      </c>
      <c r="K15" s="10" t="s">
        <v>3297</v>
      </c>
      <c r="L15" s="10" t="s">
        <v>3298</v>
      </c>
      <c r="M15" s="10" t="s">
        <v>2808</v>
      </c>
      <c r="N15" s="10" t="s">
        <v>3299</v>
      </c>
      <c r="O15" s="10" t="s">
        <v>3214</v>
      </c>
      <c r="P15" s="10" t="s">
        <v>3300</v>
      </c>
    </row>
    <row r="16" spans="1:16" x14ac:dyDescent="0.35">
      <c r="A16" s="12" t="s">
        <v>158</v>
      </c>
      <c r="B16" s="12" t="s">
        <v>3301</v>
      </c>
      <c r="C16" s="12" t="s">
        <v>631</v>
      </c>
      <c r="D16" s="12" t="s">
        <v>3302</v>
      </c>
      <c r="E16" s="12" t="s">
        <v>3303</v>
      </c>
      <c r="F16" s="16" t="s">
        <v>385</v>
      </c>
      <c r="G16" s="12" t="s">
        <v>652</v>
      </c>
      <c r="H16" s="12" t="s">
        <v>246</v>
      </c>
      <c r="I16" s="12" t="s">
        <v>3304</v>
      </c>
      <c r="J16" s="12" t="s">
        <v>654</v>
      </c>
      <c r="K16" s="12" t="s">
        <v>3305</v>
      </c>
      <c r="L16" s="12" t="s">
        <v>3212</v>
      </c>
      <c r="M16" s="12" t="s">
        <v>2808</v>
      </c>
      <c r="N16" s="12" t="s">
        <v>3306</v>
      </c>
      <c r="O16" s="12" t="s">
        <v>3214</v>
      </c>
      <c r="P16" s="12" t="s">
        <v>3307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0D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5B6"/>
  </sheetPr>
  <dimension ref="A1:P18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3308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54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64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3309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3310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3311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63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3312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37.5" x14ac:dyDescent="0.35">
      <c r="A13" s="10" t="s">
        <v>155</v>
      </c>
      <c r="B13" s="10" t="s">
        <v>54</v>
      </c>
      <c r="C13" s="10" t="s">
        <v>3313</v>
      </c>
      <c r="D13" s="10" t="s">
        <v>3314</v>
      </c>
      <c r="E13" s="10" t="s">
        <v>3315</v>
      </c>
      <c r="F13" s="14" t="s">
        <v>326</v>
      </c>
      <c r="G13" s="10" t="s">
        <v>3316</v>
      </c>
      <c r="H13" s="10" t="s">
        <v>3279</v>
      </c>
      <c r="I13" s="10" t="s">
        <v>3317</v>
      </c>
      <c r="J13" s="10" t="s">
        <v>187</v>
      </c>
      <c r="K13" s="10" t="s">
        <v>3318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3319</v>
      </c>
    </row>
    <row r="14" spans="1:16" ht="37.5" x14ac:dyDescent="0.35">
      <c r="A14" s="12" t="s">
        <v>156</v>
      </c>
      <c r="B14" s="12" t="s">
        <v>54</v>
      </c>
      <c r="C14" s="12" t="s">
        <v>643</v>
      </c>
      <c r="D14" s="12" t="s">
        <v>3320</v>
      </c>
      <c r="E14" s="12" t="s">
        <v>3321</v>
      </c>
      <c r="F14" s="13" t="s">
        <v>289</v>
      </c>
      <c r="G14" s="12" t="s">
        <v>1086</v>
      </c>
      <c r="H14" s="12" t="s">
        <v>3224</v>
      </c>
      <c r="I14" s="12" t="s">
        <v>3322</v>
      </c>
      <c r="J14" s="12" t="s">
        <v>3323</v>
      </c>
      <c r="K14" s="12" t="s">
        <v>3324</v>
      </c>
      <c r="L14" s="12" t="s">
        <v>187</v>
      </c>
      <c r="M14" s="12" t="s">
        <v>187</v>
      </c>
      <c r="N14" s="12" t="s">
        <v>187</v>
      </c>
      <c r="O14" s="12" t="s">
        <v>187</v>
      </c>
      <c r="P14" s="12" t="s">
        <v>3325</v>
      </c>
    </row>
    <row r="15" spans="1:16" ht="25" x14ac:dyDescent="0.35">
      <c r="A15" s="10" t="s">
        <v>157</v>
      </c>
      <c r="B15" s="10" t="s">
        <v>3326</v>
      </c>
      <c r="C15" s="10" t="s">
        <v>187</v>
      </c>
      <c r="D15" s="10" t="s">
        <v>3327</v>
      </c>
      <c r="E15" s="10" t="s">
        <v>2504</v>
      </c>
      <c r="F15" s="13" t="s">
        <v>289</v>
      </c>
      <c r="G15" s="10" t="s">
        <v>664</v>
      </c>
      <c r="H15" s="10" t="s">
        <v>246</v>
      </c>
      <c r="I15" s="10" t="s">
        <v>3328</v>
      </c>
      <c r="J15" s="10" t="s">
        <v>666</v>
      </c>
      <c r="K15" s="10" t="s">
        <v>3329</v>
      </c>
      <c r="L15" s="10" t="s">
        <v>3330</v>
      </c>
      <c r="M15" s="10" t="s">
        <v>3331</v>
      </c>
      <c r="N15" s="10" t="s">
        <v>187</v>
      </c>
      <c r="O15" s="10" t="s">
        <v>187</v>
      </c>
      <c r="P15" s="10" t="s">
        <v>3332</v>
      </c>
    </row>
    <row r="16" spans="1:16" ht="25" x14ac:dyDescent="0.35">
      <c r="A16" s="12" t="s">
        <v>158</v>
      </c>
      <c r="B16" s="12" t="s">
        <v>3326</v>
      </c>
      <c r="C16" s="12" t="s">
        <v>187</v>
      </c>
      <c r="D16" s="12" t="s">
        <v>3333</v>
      </c>
      <c r="E16" s="12" t="s">
        <v>2512</v>
      </c>
      <c r="F16" s="13" t="s">
        <v>289</v>
      </c>
      <c r="G16" s="12" t="s">
        <v>659</v>
      </c>
      <c r="H16" s="12" t="s">
        <v>246</v>
      </c>
      <c r="I16" s="12" t="s">
        <v>3334</v>
      </c>
      <c r="J16" s="12" t="s">
        <v>3335</v>
      </c>
      <c r="K16" s="12" t="s">
        <v>3336</v>
      </c>
      <c r="L16" s="12" t="s">
        <v>3337</v>
      </c>
      <c r="M16" s="12" t="s">
        <v>3338</v>
      </c>
      <c r="N16" s="12" t="s">
        <v>187</v>
      </c>
      <c r="O16" s="12" t="s">
        <v>187</v>
      </c>
      <c r="P16" s="12" t="s">
        <v>3339</v>
      </c>
    </row>
    <row r="17" spans="1:16" ht="37.5" x14ac:dyDescent="0.35">
      <c r="A17" s="10" t="s">
        <v>159</v>
      </c>
      <c r="B17" s="10" t="s">
        <v>3326</v>
      </c>
      <c r="C17" s="10" t="s">
        <v>187</v>
      </c>
      <c r="D17" s="10" t="s">
        <v>3340</v>
      </c>
      <c r="E17" s="10" t="s">
        <v>3341</v>
      </c>
      <c r="F17" s="10" t="s">
        <v>187</v>
      </c>
      <c r="G17" s="10" t="s">
        <v>3342</v>
      </c>
      <c r="H17" s="10" t="s">
        <v>208</v>
      </c>
      <c r="I17" s="10" t="s">
        <v>187</v>
      </c>
      <c r="J17" s="10" t="s">
        <v>3343</v>
      </c>
      <c r="K17" s="10" t="s">
        <v>3344</v>
      </c>
      <c r="L17" s="10" t="s">
        <v>3345</v>
      </c>
      <c r="M17" s="10" t="s">
        <v>3346</v>
      </c>
      <c r="N17" s="10" t="s">
        <v>3347</v>
      </c>
      <c r="O17" s="10" t="s">
        <v>187</v>
      </c>
      <c r="P17" s="10" t="s">
        <v>187</v>
      </c>
    </row>
    <row r="18" spans="1:16" ht="37.5" x14ac:dyDescent="0.35">
      <c r="A18" s="12" t="s">
        <v>160</v>
      </c>
      <c r="B18" s="12" t="s">
        <v>3326</v>
      </c>
      <c r="C18" s="12" t="s">
        <v>187</v>
      </c>
      <c r="D18" s="12" t="s">
        <v>3348</v>
      </c>
      <c r="E18" s="12" t="s">
        <v>3349</v>
      </c>
      <c r="F18" s="13" t="s">
        <v>289</v>
      </c>
      <c r="G18" s="12" t="s">
        <v>3350</v>
      </c>
      <c r="H18" s="12" t="s">
        <v>259</v>
      </c>
      <c r="I18" s="12" t="s">
        <v>2569</v>
      </c>
      <c r="J18" s="12" t="s">
        <v>3351</v>
      </c>
      <c r="K18" s="12" t="s">
        <v>3352</v>
      </c>
      <c r="L18" s="12" t="s">
        <v>3353</v>
      </c>
      <c r="M18" s="12" t="s">
        <v>3354</v>
      </c>
      <c r="N18" s="12" t="s">
        <v>187</v>
      </c>
      <c r="O18" s="12" t="s">
        <v>3355</v>
      </c>
      <c r="P18" s="12" t="s">
        <v>3356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0E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5B6"/>
  </sheetPr>
  <dimension ref="A1:P15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3357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54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68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3358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3359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3360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67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3220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54</v>
      </c>
      <c r="C13" s="10" t="s">
        <v>3361</v>
      </c>
      <c r="D13" s="10" t="s">
        <v>3362</v>
      </c>
      <c r="E13" s="10" t="s">
        <v>3363</v>
      </c>
      <c r="F13" s="13" t="s">
        <v>289</v>
      </c>
      <c r="G13" s="10" t="s">
        <v>1093</v>
      </c>
      <c r="H13" s="10" t="s">
        <v>208</v>
      </c>
      <c r="I13" s="10" t="s">
        <v>3364</v>
      </c>
      <c r="J13" s="10" t="s">
        <v>1095</v>
      </c>
      <c r="K13" s="10" t="s">
        <v>3365</v>
      </c>
      <c r="L13" s="10" t="s">
        <v>187</v>
      </c>
      <c r="M13" s="10" t="s">
        <v>187</v>
      </c>
      <c r="N13" s="10" t="s">
        <v>187</v>
      </c>
      <c r="O13" s="10" t="s">
        <v>187</v>
      </c>
      <c r="P13" s="10" t="s">
        <v>3366</v>
      </c>
    </row>
    <row r="14" spans="1:16" ht="50" x14ac:dyDescent="0.35">
      <c r="A14" s="12" t="s">
        <v>156</v>
      </c>
      <c r="B14" s="12" t="s">
        <v>3326</v>
      </c>
      <c r="C14" s="12" t="s">
        <v>187</v>
      </c>
      <c r="D14" s="12" t="s">
        <v>3367</v>
      </c>
      <c r="E14" s="12" t="s">
        <v>3368</v>
      </c>
      <c r="F14" s="12" t="s">
        <v>187</v>
      </c>
      <c r="G14" s="12" t="s">
        <v>3369</v>
      </c>
      <c r="H14" s="12" t="s">
        <v>208</v>
      </c>
      <c r="I14" s="12" t="s">
        <v>187</v>
      </c>
      <c r="J14" s="12" t="s">
        <v>3370</v>
      </c>
      <c r="K14" s="12" t="s">
        <v>3371</v>
      </c>
      <c r="L14" s="12" t="s">
        <v>3372</v>
      </c>
      <c r="M14" s="12" t="s">
        <v>3373</v>
      </c>
      <c r="N14" s="12" t="s">
        <v>3374</v>
      </c>
      <c r="O14" s="12" t="s">
        <v>187</v>
      </c>
      <c r="P14" s="12" t="s">
        <v>187</v>
      </c>
    </row>
    <row r="15" spans="1:16" ht="37.5" x14ac:dyDescent="0.35">
      <c r="A15" s="10" t="s">
        <v>157</v>
      </c>
      <c r="B15" s="10" t="s">
        <v>3326</v>
      </c>
      <c r="C15" s="10" t="s">
        <v>187</v>
      </c>
      <c r="D15" s="10" t="s">
        <v>3375</v>
      </c>
      <c r="E15" s="10" t="s">
        <v>1088</v>
      </c>
      <c r="F15" s="10" t="s">
        <v>187</v>
      </c>
      <c r="G15" s="10" t="s">
        <v>3369</v>
      </c>
      <c r="H15" s="10" t="s">
        <v>208</v>
      </c>
      <c r="I15" s="10" t="s">
        <v>187</v>
      </c>
      <c r="J15" s="10" t="s">
        <v>3376</v>
      </c>
      <c r="K15" s="10" t="s">
        <v>3377</v>
      </c>
      <c r="L15" s="10" t="s">
        <v>3378</v>
      </c>
      <c r="M15" s="10" t="s">
        <v>3379</v>
      </c>
      <c r="N15" s="10" t="s">
        <v>3380</v>
      </c>
      <c r="O15" s="10" t="s">
        <v>3381</v>
      </c>
      <c r="P15" s="10" t="s">
        <v>3382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0F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5B6"/>
  </sheetPr>
  <dimension ref="A1:P17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3383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71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73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3384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3385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3386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72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3387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3388</v>
      </c>
      <c r="C13" s="10" t="s">
        <v>3002</v>
      </c>
      <c r="D13" s="10" t="s">
        <v>3389</v>
      </c>
      <c r="E13" s="10" t="s">
        <v>3390</v>
      </c>
      <c r="F13" s="14" t="s">
        <v>326</v>
      </c>
      <c r="G13" s="10" t="s">
        <v>3391</v>
      </c>
      <c r="H13" s="10" t="s">
        <v>208</v>
      </c>
      <c r="I13" s="10" t="s">
        <v>3392</v>
      </c>
      <c r="J13" s="10" t="s">
        <v>3393</v>
      </c>
      <c r="K13" s="10" t="s">
        <v>3394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3395</v>
      </c>
    </row>
    <row r="14" spans="1:16" ht="37.5" x14ac:dyDescent="0.35">
      <c r="A14" s="12" t="s">
        <v>156</v>
      </c>
      <c r="B14" s="12" t="s">
        <v>3388</v>
      </c>
      <c r="C14" s="12" t="s">
        <v>3396</v>
      </c>
      <c r="D14" s="12" t="s">
        <v>3397</v>
      </c>
      <c r="E14" s="12" t="s">
        <v>3398</v>
      </c>
      <c r="F14" s="14" t="s">
        <v>326</v>
      </c>
      <c r="G14" s="12" t="s">
        <v>3399</v>
      </c>
      <c r="H14" s="12" t="s">
        <v>3400</v>
      </c>
      <c r="I14" s="12" t="s">
        <v>3401</v>
      </c>
      <c r="J14" s="12" t="s">
        <v>3402</v>
      </c>
      <c r="K14" s="12" t="s">
        <v>3403</v>
      </c>
      <c r="L14" s="12" t="s">
        <v>187</v>
      </c>
      <c r="M14" s="12" t="s">
        <v>2375</v>
      </c>
      <c r="N14" s="12" t="s">
        <v>187</v>
      </c>
      <c r="O14" s="12" t="s">
        <v>187</v>
      </c>
      <c r="P14" s="12" t="s">
        <v>3404</v>
      </c>
    </row>
    <row r="15" spans="1:16" ht="37.5" x14ac:dyDescent="0.35">
      <c r="A15" s="10" t="s">
        <v>157</v>
      </c>
      <c r="B15" s="10" t="s">
        <v>3388</v>
      </c>
      <c r="C15" s="10" t="s">
        <v>1113</v>
      </c>
      <c r="D15" s="10" t="s">
        <v>3405</v>
      </c>
      <c r="E15" s="10" t="s">
        <v>3406</v>
      </c>
      <c r="F15" s="16" t="s">
        <v>385</v>
      </c>
      <c r="G15" s="10" t="s">
        <v>1107</v>
      </c>
      <c r="H15" s="10" t="s">
        <v>208</v>
      </c>
      <c r="I15" s="10" t="s">
        <v>3407</v>
      </c>
      <c r="J15" s="10" t="s">
        <v>1109</v>
      </c>
      <c r="K15" s="10" t="s">
        <v>3408</v>
      </c>
      <c r="L15" s="10" t="s">
        <v>3409</v>
      </c>
      <c r="M15" s="10" t="s">
        <v>3410</v>
      </c>
      <c r="N15" s="10" t="s">
        <v>3411</v>
      </c>
      <c r="O15" s="10" t="s">
        <v>3412</v>
      </c>
      <c r="P15" s="10" t="s">
        <v>3413</v>
      </c>
    </row>
    <row r="16" spans="1:16" ht="37.5" x14ac:dyDescent="0.35">
      <c r="A16" s="12" t="s">
        <v>158</v>
      </c>
      <c r="B16" s="12" t="s">
        <v>3414</v>
      </c>
      <c r="C16" s="12" t="s">
        <v>1113</v>
      </c>
      <c r="D16" s="12" t="s">
        <v>3415</v>
      </c>
      <c r="E16" s="12" t="s">
        <v>3416</v>
      </c>
      <c r="F16" s="16" t="s">
        <v>385</v>
      </c>
      <c r="G16" s="12" t="s">
        <v>1115</v>
      </c>
      <c r="H16" s="12" t="s">
        <v>208</v>
      </c>
      <c r="I16" s="12" t="s">
        <v>3417</v>
      </c>
      <c r="J16" s="12" t="s">
        <v>1117</v>
      </c>
      <c r="K16" s="12" t="s">
        <v>3418</v>
      </c>
      <c r="L16" s="12" t="s">
        <v>3419</v>
      </c>
      <c r="M16" s="12" t="s">
        <v>3410</v>
      </c>
      <c r="N16" s="12" t="s">
        <v>3420</v>
      </c>
      <c r="O16" s="12" t="s">
        <v>3421</v>
      </c>
      <c r="P16" s="12" t="s">
        <v>3422</v>
      </c>
    </row>
    <row r="17" spans="1:16" ht="37.5" x14ac:dyDescent="0.35">
      <c r="A17" s="10" t="s">
        <v>159</v>
      </c>
      <c r="B17" s="10" t="s">
        <v>3388</v>
      </c>
      <c r="C17" s="10" t="s">
        <v>3423</v>
      </c>
      <c r="D17" s="10" t="s">
        <v>3424</v>
      </c>
      <c r="E17" s="10" t="s">
        <v>1066</v>
      </c>
      <c r="F17" s="14" t="s">
        <v>326</v>
      </c>
      <c r="G17" s="10" t="s">
        <v>1064</v>
      </c>
      <c r="H17" s="10" t="s">
        <v>208</v>
      </c>
      <c r="I17" s="10" t="s">
        <v>3425</v>
      </c>
      <c r="J17" s="10" t="s">
        <v>1066</v>
      </c>
      <c r="K17" s="10" t="s">
        <v>3426</v>
      </c>
      <c r="L17" s="10" t="s">
        <v>187</v>
      </c>
      <c r="M17" s="10" t="s">
        <v>2375</v>
      </c>
      <c r="N17" s="10" t="s">
        <v>187</v>
      </c>
      <c r="O17" s="10" t="s">
        <v>187</v>
      </c>
      <c r="P17" s="10" t="s">
        <v>3427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000-000000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75B6"/>
  </sheetPr>
  <dimension ref="A1:P18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3428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76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78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3429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3430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3431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77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3432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37.5" x14ac:dyDescent="0.35">
      <c r="A13" s="10" t="s">
        <v>155</v>
      </c>
      <c r="B13" s="10" t="s">
        <v>54</v>
      </c>
      <c r="C13" s="10" t="s">
        <v>3433</v>
      </c>
      <c r="D13" s="10" t="s">
        <v>3434</v>
      </c>
      <c r="E13" s="10" t="s">
        <v>3435</v>
      </c>
      <c r="F13" s="14" t="s">
        <v>326</v>
      </c>
      <c r="G13" s="10" t="s">
        <v>3436</v>
      </c>
      <c r="H13" s="10" t="s">
        <v>3437</v>
      </c>
      <c r="I13" s="10" t="s">
        <v>3438</v>
      </c>
      <c r="J13" s="10" t="s">
        <v>187</v>
      </c>
      <c r="K13" s="10" t="s">
        <v>3439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3440</v>
      </c>
    </row>
    <row r="14" spans="1:16" ht="50" x14ac:dyDescent="0.35">
      <c r="A14" s="12" t="s">
        <v>156</v>
      </c>
      <c r="B14" s="12" t="s">
        <v>54</v>
      </c>
      <c r="C14" s="12" t="s">
        <v>681</v>
      </c>
      <c r="D14" s="12" t="s">
        <v>3441</v>
      </c>
      <c r="E14" s="12" t="s">
        <v>3442</v>
      </c>
      <c r="F14" s="13" t="s">
        <v>289</v>
      </c>
      <c r="G14" s="12" t="s">
        <v>676</v>
      </c>
      <c r="H14" s="12" t="s">
        <v>246</v>
      </c>
      <c r="I14" s="12" t="s">
        <v>3443</v>
      </c>
      <c r="J14" s="12" t="s">
        <v>3444</v>
      </c>
      <c r="K14" s="12" t="s">
        <v>3445</v>
      </c>
      <c r="L14" s="12" t="s">
        <v>3446</v>
      </c>
      <c r="M14" s="12" t="s">
        <v>2795</v>
      </c>
      <c r="N14" s="12" t="s">
        <v>3447</v>
      </c>
      <c r="O14" s="12" t="s">
        <v>3448</v>
      </c>
      <c r="P14" s="12" t="s">
        <v>3449</v>
      </c>
    </row>
    <row r="15" spans="1:16" ht="37.5" x14ac:dyDescent="0.35">
      <c r="A15" s="10" t="s">
        <v>157</v>
      </c>
      <c r="B15" s="10" t="s">
        <v>84</v>
      </c>
      <c r="C15" s="10" t="s">
        <v>3450</v>
      </c>
      <c r="D15" s="10" t="s">
        <v>3451</v>
      </c>
      <c r="E15" s="10" t="s">
        <v>3452</v>
      </c>
      <c r="F15" s="16" t="s">
        <v>385</v>
      </c>
      <c r="G15" s="10" t="s">
        <v>704</v>
      </c>
      <c r="H15" s="10" t="s">
        <v>246</v>
      </c>
      <c r="I15" s="10" t="s">
        <v>3453</v>
      </c>
      <c r="J15" s="10" t="s">
        <v>706</v>
      </c>
      <c r="K15" s="10" t="s">
        <v>3454</v>
      </c>
      <c r="L15" s="10" t="s">
        <v>3455</v>
      </c>
      <c r="M15" s="10" t="s">
        <v>3456</v>
      </c>
      <c r="N15" s="10" t="s">
        <v>3457</v>
      </c>
      <c r="O15" s="10" t="s">
        <v>3458</v>
      </c>
      <c r="P15" s="10" t="s">
        <v>3459</v>
      </c>
    </row>
    <row r="16" spans="1:16" ht="25" x14ac:dyDescent="0.35">
      <c r="A16" s="12" t="s">
        <v>158</v>
      </c>
      <c r="B16" s="12" t="s">
        <v>3460</v>
      </c>
      <c r="C16" s="12" t="s">
        <v>702</v>
      </c>
      <c r="D16" s="12" t="s">
        <v>3461</v>
      </c>
      <c r="E16" s="12" t="s">
        <v>3462</v>
      </c>
      <c r="F16" s="16" t="s">
        <v>385</v>
      </c>
      <c r="G16" s="12" t="s">
        <v>711</v>
      </c>
      <c r="H16" s="12" t="s">
        <v>246</v>
      </c>
      <c r="I16" s="12" t="s">
        <v>3463</v>
      </c>
      <c r="J16" s="12" t="s">
        <v>713</v>
      </c>
      <c r="K16" s="12" t="s">
        <v>3464</v>
      </c>
      <c r="L16" s="12" t="s">
        <v>3465</v>
      </c>
      <c r="M16" s="12" t="s">
        <v>2795</v>
      </c>
      <c r="N16" s="12" t="s">
        <v>3466</v>
      </c>
      <c r="O16" s="12" t="s">
        <v>3467</v>
      </c>
      <c r="P16" s="12" t="s">
        <v>187</v>
      </c>
    </row>
    <row r="17" spans="1:16" ht="25" x14ac:dyDescent="0.35">
      <c r="A17" s="10" t="s">
        <v>159</v>
      </c>
      <c r="B17" s="10" t="s">
        <v>3468</v>
      </c>
      <c r="C17" s="10" t="s">
        <v>3469</v>
      </c>
      <c r="D17" s="10" t="s">
        <v>3470</v>
      </c>
      <c r="E17" s="10" t="s">
        <v>3471</v>
      </c>
      <c r="F17" s="16" t="s">
        <v>385</v>
      </c>
      <c r="G17" s="10" t="s">
        <v>725</v>
      </c>
      <c r="H17" s="10" t="s">
        <v>246</v>
      </c>
      <c r="I17" s="10" t="s">
        <v>3472</v>
      </c>
      <c r="J17" s="10" t="s">
        <v>727</v>
      </c>
      <c r="K17" s="10" t="s">
        <v>3473</v>
      </c>
      <c r="L17" s="10" t="s">
        <v>3474</v>
      </c>
      <c r="M17" s="10" t="s">
        <v>2795</v>
      </c>
      <c r="N17" s="10" t="s">
        <v>3475</v>
      </c>
      <c r="O17" s="10" t="s">
        <v>3476</v>
      </c>
      <c r="P17" s="10" t="s">
        <v>187</v>
      </c>
    </row>
    <row r="18" spans="1:16" ht="37.5" x14ac:dyDescent="0.35">
      <c r="A18" s="12" t="s">
        <v>160</v>
      </c>
      <c r="B18" s="12" t="s">
        <v>3460</v>
      </c>
      <c r="C18" s="12" t="s">
        <v>702</v>
      </c>
      <c r="D18" s="12" t="s">
        <v>3477</v>
      </c>
      <c r="E18" s="12" t="s">
        <v>3478</v>
      </c>
      <c r="F18" s="16" t="s">
        <v>385</v>
      </c>
      <c r="G18" s="12" t="s">
        <v>718</v>
      </c>
      <c r="H18" s="12" t="s">
        <v>246</v>
      </c>
      <c r="I18" s="12" t="s">
        <v>3479</v>
      </c>
      <c r="J18" s="12" t="s">
        <v>720</v>
      </c>
      <c r="K18" s="12" t="s">
        <v>3480</v>
      </c>
      <c r="L18" s="12" t="s">
        <v>3481</v>
      </c>
      <c r="M18" s="12" t="s">
        <v>3456</v>
      </c>
      <c r="N18" s="12" t="s">
        <v>3482</v>
      </c>
      <c r="O18" s="12" t="s">
        <v>3483</v>
      </c>
      <c r="P18" s="12" t="s">
        <v>187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100-000000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E75B6"/>
  </sheetPr>
  <dimension ref="A1:P19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3484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54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81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3485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3486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3487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67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3220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54</v>
      </c>
      <c r="C13" s="10" t="s">
        <v>3488</v>
      </c>
      <c r="D13" s="10" t="s">
        <v>3489</v>
      </c>
      <c r="E13" s="10" t="s">
        <v>3490</v>
      </c>
      <c r="F13" s="14" t="s">
        <v>326</v>
      </c>
      <c r="G13" s="10" t="s">
        <v>1072</v>
      </c>
      <c r="H13" s="10" t="s">
        <v>208</v>
      </c>
      <c r="I13" s="10" t="s">
        <v>3491</v>
      </c>
      <c r="J13" s="10" t="s">
        <v>1074</v>
      </c>
      <c r="K13" s="10" t="s">
        <v>3492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3493</v>
      </c>
    </row>
    <row r="14" spans="1:16" ht="25" x14ac:dyDescent="0.35">
      <c r="A14" s="12" t="s">
        <v>156</v>
      </c>
      <c r="B14" s="12" t="s">
        <v>54</v>
      </c>
      <c r="C14" s="12" t="s">
        <v>1007</v>
      </c>
      <c r="D14" s="12" t="s">
        <v>3494</v>
      </c>
      <c r="E14" s="12" t="s">
        <v>3495</v>
      </c>
      <c r="F14" s="14" t="s">
        <v>326</v>
      </c>
      <c r="G14" s="12" t="s">
        <v>3496</v>
      </c>
      <c r="H14" s="12" t="s">
        <v>208</v>
      </c>
      <c r="I14" s="12" t="s">
        <v>3497</v>
      </c>
      <c r="J14" s="12" t="s">
        <v>187</v>
      </c>
      <c r="K14" s="12" t="s">
        <v>3498</v>
      </c>
      <c r="L14" s="12" t="s">
        <v>187</v>
      </c>
      <c r="M14" s="12" t="s">
        <v>2375</v>
      </c>
      <c r="N14" s="12" t="s">
        <v>187</v>
      </c>
      <c r="O14" s="12" t="s">
        <v>187</v>
      </c>
      <c r="P14" s="12" t="s">
        <v>3499</v>
      </c>
    </row>
    <row r="15" spans="1:16" ht="25" x14ac:dyDescent="0.35">
      <c r="A15" s="10" t="s">
        <v>157</v>
      </c>
      <c r="B15" s="10" t="s">
        <v>54</v>
      </c>
      <c r="C15" s="10" t="s">
        <v>1007</v>
      </c>
      <c r="D15" s="10" t="s">
        <v>3500</v>
      </c>
      <c r="E15" s="10" t="s">
        <v>3501</v>
      </c>
      <c r="F15" s="14" t="s">
        <v>326</v>
      </c>
      <c r="G15" s="10" t="s">
        <v>1016</v>
      </c>
      <c r="H15" s="10" t="s">
        <v>208</v>
      </c>
      <c r="I15" s="10" t="s">
        <v>3502</v>
      </c>
      <c r="J15" s="10" t="s">
        <v>1018</v>
      </c>
      <c r="K15" s="10" t="s">
        <v>3503</v>
      </c>
      <c r="L15" s="10" t="s">
        <v>3504</v>
      </c>
      <c r="M15" s="10" t="s">
        <v>2375</v>
      </c>
      <c r="N15" s="10" t="s">
        <v>187</v>
      </c>
      <c r="O15" s="10" t="s">
        <v>187</v>
      </c>
      <c r="P15" s="10" t="s">
        <v>3505</v>
      </c>
    </row>
    <row r="16" spans="1:16" ht="37.5" x14ac:dyDescent="0.35">
      <c r="A16" s="12" t="s">
        <v>158</v>
      </c>
      <c r="B16" s="12" t="s">
        <v>54</v>
      </c>
      <c r="C16" s="12" t="s">
        <v>1007</v>
      </c>
      <c r="D16" s="12" t="s">
        <v>3506</v>
      </c>
      <c r="E16" s="12" t="s">
        <v>1003</v>
      </c>
      <c r="F16" s="13" t="s">
        <v>289</v>
      </c>
      <c r="G16" s="12" t="s">
        <v>1001</v>
      </c>
      <c r="H16" s="12" t="s">
        <v>208</v>
      </c>
      <c r="I16" s="12" t="s">
        <v>3507</v>
      </c>
      <c r="J16" s="12" t="s">
        <v>3508</v>
      </c>
      <c r="K16" s="12" t="s">
        <v>3509</v>
      </c>
      <c r="L16" s="12" t="s">
        <v>3510</v>
      </c>
      <c r="M16" s="12" t="s">
        <v>3379</v>
      </c>
      <c r="N16" s="12" t="s">
        <v>3511</v>
      </c>
      <c r="O16" s="12" t="s">
        <v>3381</v>
      </c>
      <c r="P16" s="12" t="s">
        <v>3512</v>
      </c>
    </row>
    <row r="17" spans="1:16" x14ac:dyDescent="0.35">
      <c r="A17" s="10" t="s">
        <v>159</v>
      </c>
      <c r="B17" s="10" t="s">
        <v>54</v>
      </c>
      <c r="C17" s="10" t="s">
        <v>1007</v>
      </c>
      <c r="D17" s="10" t="s">
        <v>3513</v>
      </c>
      <c r="E17" s="10" t="s">
        <v>1011</v>
      </c>
      <c r="F17" s="16" t="s">
        <v>385</v>
      </c>
      <c r="G17" s="10" t="s">
        <v>1009</v>
      </c>
      <c r="H17" s="10" t="s">
        <v>208</v>
      </c>
      <c r="I17" s="10" t="s">
        <v>3514</v>
      </c>
      <c r="J17" s="10" t="s">
        <v>1011</v>
      </c>
      <c r="K17" s="10" t="s">
        <v>3503</v>
      </c>
      <c r="L17" s="10" t="s">
        <v>3212</v>
      </c>
      <c r="M17" s="10" t="s">
        <v>2727</v>
      </c>
      <c r="N17" s="10" t="s">
        <v>3515</v>
      </c>
      <c r="O17" s="10" t="s">
        <v>187</v>
      </c>
      <c r="P17" s="10" t="s">
        <v>3516</v>
      </c>
    </row>
    <row r="18" spans="1:16" ht="37.5" x14ac:dyDescent="0.35">
      <c r="A18" s="12" t="s">
        <v>160</v>
      </c>
      <c r="B18" s="12" t="s">
        <v>54</v>
      </c>
      <c r="C18" s="12" t="s">
        <v>1007</v>
      </c>
      <c r="D18" s="12" t="s">
        <v>3517</v>
      </c>
      <c r="E18" s="12" t="s">
        <v>3518</v>
      </c>
      <c r="F18" s="16" t="s">
        <v>385</v>
      </c>
      <c r="G18" s="12" t="s">
        <v>1100</v>
      </c>
      <c r="H18" s="12" t="s">
        <v>208</v>
      </c>
      <c r="I18" s="12" t="s">
        <v>3519</v>
      </c>
      <c r="J18" s="12" t="s">
        <v>1102</v>
      </c>
      <c r="K18" s="12" t="s">
        <v>3520</v>
      </c>
      <c r="L18" s="12" t="s">
        <v>3521</v>
      </c>
      <c r="M18" s="12" t="s">
        <v>3410</v>
      </c>
      <c r="N18" s="12" t="s">
        <v>3522</v>
      </c>
      <c r="O18" s="12" t="s">
        <v>3523</v>
      </c>
      <c r="P18" s="12" t="s">
        <v>3524</v>
      </c>
    </row>
    <row r="19" spans="1:16" ht="37.5" x14ac:dyDescent="0.35">
      <c r="A19" s="10" t="s">
        <v>161</v>
      </c>
      <c r="B19" s="10" t="s">
        <v>2852</v>
      </c>
      <c r="C19" s="10" t="s">
        <v>3525</v>
      </c>
      <c r="D19" s="10" t="s">
        <v>3526</v>
      </c>
      <c r="E19" s="10" t="s">
        <v>1608</v>
      </c>
      <c r="F19" s="10" t="s">
        <v>187</v>
      </c>
      <c r="G19" s="10" t="s">
        <v>3527</v>
      </c>
      <c r="H19" s="10" t="s">
        <v>208</v>
      </c>
      <c r="I19" s="10" t="s">
        <v>187</v>
      </c>
      <c r="J19" s="10" t="s">
        <v>3528</v>
      </c>
      <c r="K19" s="10" t="s">
        <v>3529</v>
      </c>
      <c r="L19" s="10" t="s">
        <v>3530</v>
      </c>
      <c r="M19" s="10" t="s">
        <v>3410</v>
      </c>
      <c r="N19" s="10" t="s">
        <v>3531</v>
      </c>
      <c r="O19" s="10" t="s">
        <v>3532</v>
      </c>
      <c r="P19" s="10" t="s">
        <v>187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200-000000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E75B6"/>
  </sheetPr>
  <dimension ref="A1:P19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3533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84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85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3534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3535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3536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67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3537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84</v>
      </c>
      <c r="C13" s="10" t="s">
        <v>3538</v>
      </c>
      <c r="D13" s="10" t="s">
        <v>3539</v>
      </c>
      <c r="E13" s="10" t="s">
        <v>3540</v>
      </c>
      <c r="F13" s="14" t="s">
        <v>326</v>
      </c>
      <c r="G13" s="10" t="s">
        <v>1196</v>
      </c>
      <c r="H13" s="10" t="s">
        <v>208</v>
      </c>
      <c r="I13" s="10" t="s">
        <v>3541</v>
      </c>
      <c r="J13" s="10" t="s">
        <v>1198</v>
      </c>
      <c r="K13" s="10" t="s">
        <v>3542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3543</v>
      </c>
    </row>
    <row r="14" spans="1:16" ht="37.5" x14ac:dyDescent="0.35">
      <c r="A14" s="12" t="s">
        <v>156</v>
      </c>
      <c r="B14" s="12" t="s">
        <v>84</v>
      </c>
      <c r="C14" s="12" t="s">
        <v>3544</v>
      </c>
      <c r="D14" s="12" t="s">
        <v>3545</v>
      </c>
      <c r="E14" s="12" t="s">
        <v>3546</v>
      </c>
      <c r="F14" s="13" t="s">
        <v>289</v>
      </c>
      <c r="G14" s="12" t="s">
        <v>1138</v>
      </c>
      <c r="H14" s="12" t="s">
        <v>208</v>
      </c>
      <c r="I14" s="12" t="s">
        <v>3547</v>
      </c>
      <c r="J14" s="12" t="s">
        <v>1170</v>
      </c>
      <c r="K14" s="12" t="s">
        <v>3548</v>
      </c>
      <c r="L14" s="12" t="s">
        <v>3549</v>
      </c>
      <c r="M14" s="12" t="s">
        <v>3550</v>
      </c>
      <c r="N14" s="12" t="s">
        <v>3551</v>
      </c>
      <c r="O14" s="12" t="s">
        <v>3552</v>
      </c>
      <c r="P14" s="12" t="s">
        <v>3553</v>
      </c>
    </row>
    <row r="15" spans="1:16" ht="37.5" x14ac:dyDescent="0.35">
      <c r="A15" s="10" t="s">
        <v>157</v>
      </c>
      <c r="B15" s="10" t="s">
        <v>84</v>
      </c>
      <c r="C15" s="10" t="s">
        <v>3554</v>
      </c>
      <c r="D15" s="10" t="s">
        <v>3555</v>
      </c>
      <c r="E15" s="10" t="s">
        <v>3556</v>
      </c>
      <c r="F15" s="16" t="s">
        <v>385</v>
      </c>
      <c r="G15" s="10" t="s">
        <v>1163</v>
      </c>
      <c r="H15" s="10" t="s">
        <v>208</v>
      </c>
      <c r="I15" s="10" t="s">
        <v>3557</v>
      </c>
      <c r="J15" s="10" t="s">
        <v>1177</v>
      </c>
      <c r="K15" s="10" t="s">
        <v>3558</v>
      </c>
      <c r="L15" s="10" t="s">
        <v>3559</v>
      </c>
      <c r="M15" s="10" t="s">
        <v>3560</v>
      </c>
      <c r="N15" s="10" t="s">
        <v>187</v>
      </c>
      <c r="O15" s="10" t="s">
        <v>3561</v>
      </c>
      <c r="P15" s="10" t="s">
        <v>3562</v>
      </c>
    </row>
    <row r="16" spans="1:16" ht="25" x14ac:dyDescent="0.35">
      <c r="A16" s="12" t="s">
        <v>158</v>
      </c>
      <c r="B16" s="12" t="s">
        <v>84</v>
      </c>
      <c r="C16" s="12" t="s">
        <v>1189</v>
      </c>
      <c r="D16" s="12" t="s">
        <v>3563</v>
      </c>
      <c r="E16" s="12" t="s">
        <v>3564</v>
      </c>
      <c r="F16" s="16" t="s">
        <v>385</v>
      </c>
      <c r="G16" s="12" t="s">
        <v>1183</v>
      </c>
      <c r="H16" s="12" t="s">
        <v>208</v>
      </c>
      <c r="I16" s="12" t="s">
        <v>3565</v>
      </c>
      <c r="J16" s="12" t="s">
        <v>1185</v>
      </c>
      <c r="K16" s="12" t="s">
        <v>3566</v>
      </c>
      <c r="L16" s="12" t="s">
        <v>3567</v>
      </c>
      <c r="M16" s="12" t="s">
        <v>2735</v>
      </c>
      <c r="N16" s="12" t="s">
        <v>3568</v>
      </c>
      <c r="O16" s="12" t="s">
        <v>187</v>
      </c>
      <c r="P16" s="12" t="s">
        <v>3569</v>
      </c>
    </row>
    <row r="17" spans="1:16" ht="25" x14ac:dyDescent="0.35">
      <c r="A17" s="10" t="s">
        <v>159</v>
      </c>
      <c r="B17" s="10" t="s">
        <v>2852</v>
      </c>
      <c r="C17" s="10" t="s">
        <v>3570</v>
      </c>
      <c r="D17" s="10" t="s">
        <v>3571</v>
      </c>
      <c r="E17" s="10" t="s">
        <v>1608</v>
      </c>
      <c r="F17" s="14" t="s">
        <v>326</v>
      </c>
      <c r="G17" s="10" t="s">
        <v>1230</v>
      </c>
      <c r="H17" s="10" t="s">
        <v>246</v>
      </c>
      <c r="I17" s="10" t="s">
        <v>187</v>
      </c>
      <c r="J17" s="10" t="s">
        <v>3572</v>
      </c>
      <c r="K17" s="10" t="s">
        <v>3573</v>
      </c>
      <c r="L17" s="10" t="s">
        <v>3574</v>
      </c>
      <c r="M17" s="10" t="s">
        <v>2805</v>
      </c>
      <c r="N17" s="10" t="s">
        <v>3575</v>
      </c>
      <c r="O17" s="10" t="s">
        <v>187</v>
      </c>
      <c r="P17" s="10" t="s">
        <v>187</v>
      </c>
    </row>
    <row r="18" spans="1:16" ht="37.5" x14ac:dyDescent="0.35">
      <c r="A18" s="12" t="s">
        <v>160</v>
      </c>
      <c r="B18" s="12" t="s">
        <v>84</v>
      </c>
      <c r="C18" s="12" t="s">
        <v>3576</v>
      </c>
      <c r="D18" s="12" t="s">
        <v>3577</v>
      </c>
      <c r="E18" s="12" t="s">
        <v>3578</v>
      </c>
      <c r="F18" s="16" t="s">
        <v>3579</v>
      </c>
      <c r="G18" s="12" t="s">
        <v>3580</v>
      </c>
      <c r="H18" s="12" t="s">
        <v>208</v>
      </c>
      <c r="I18" s="12" t="s">
        <v>3581</v>
      </c>
      <c r="J18" s="12" t="s">
        <v>3582</v>
      </c>
      <c r="K18" s="12" t="s">
        <v>3583</v>
      </c>
      <c r="L18" s="12" t="s">
        <v>3584</v>
      </c>
      <c r="M18" s="12" t="s">
        <v>3585</v>
      </c>
      <c r="N18" s="12" t="s">
        <v>187</v>
      </c>
      <c r="O18" s="12" t="s">
        <v>187</v>
      </c>
      <c r="P18" s="12" t="s">
        <v>3586</v>
      </c>
    </row>
    <row r="19" spans="1:16" ht="25" x14ac:dyDescent="0.35">
      <c r="A19" s="10" t="s">
        <v>161</v>
      </c>
      <c r="B19" s="10" t="s">
        <v>84</v>
      </c>
      <c r="C19" s="10" t="s">
        <v>1189</v>
      </c>
      <c r="D19" s="10" t="s">
        <v>3587</v>
      </c>
      <c r="E19" s="10" t="s">
        <v>3588</v>
      </c>
      <c r="F19" s="15" t="s">
        <v>340</v>
      </c>
      <c r="G19" s="10" t="s">
        <v>1163</v>
      </c>
      <c r="H19" s="10" t="s">
        <v>208</v>
      </c>
      <c r="I19" s="10" t="s">
        <v>3589</v>
      </c>
      <c r="J19" s="10" t="s">
        <v>3590</v>
      </c>
      <c r="K19" s="10" t="s">
        <v>3591</v>
      </c>
      <c r="L19" s="10" t="s">
        <v>3212</v>
      </c>
      <c r="M19" s="10" t="s">
        <v>2735</v>
      </c>
      <c r="N19" s="10" t="s">
        <v>3592</v>
      </c>
      <c r="O19" s="10" t="s">
        <v>187</v>
      </c>
      <c r="P19" s="10" t="s">
        <v>3593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300-000000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E75B6"/>
  </sheetPr>
  <dimension ref="A1:P17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3594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84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89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3595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3596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3597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88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3598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39" x14ac:dyDescent="0.35">
      <c r="A13" s="10" t="s">
        <v>155</v>
      </c>
      <c r="B13" s="10" t="s">
        <v>84</v>
      </c>
      <c r="C13" s="10" t="s">
        <v>3599</v>
      </c>
      <c r="D13" s="10" t="s">
        <v>3600</v>
      </c>
      <c r="E13" s="10" t="s">
        <v>3601</v>
      </c>
      <c r="F13" s="14" t="s">
        <v>3602</v>
      </c>
      <c r="G13" s="10" t="s">
        <v>3603</v>
      </c>
      <c r="H13" s="10" t="s">
        <v>3604</v>
      </c>
      <c r="I13" s="10" t="s">
        <v>3605</v>
      </c>
      <c r="J13" s="10" t="s">
        <v>3606</v>
      </c>
      <c r="K13" s="10" t="s">
        <v>3607</v>
      </c>
      <c r="L13" s="10" t="s">
        <v>3608</v>
      </c>
      <c r="M13" s="10" t="s">
        <v>2761</v>
      </c>
      <c r="N13" s="10" t="s">
        <v>3609</v>
      </c>
      <c r="O13" s="10" t="s">
        <v>187</v>
      </c>
      <c r="P13" s="10" t="s">
        <v>3610</v>
      </c>
    </row>
    <row r="14" spans="1:16" ht="25" x14ac:dyDescent="0.35">
      <c r="A14" s="12" t="s">
        <v>156</v>
      </c>
      <c r="B14" s="12" t="s">
        <v>84</v>
      </c>
      <c r="C14" s="12" t="s">
        <v>1291</v>
      </c>
      <c r="D14" s="12" t="s">
        <v>3611</v>
      </c>
      <c r="E14" s="12" t="s">
        <v>3612</v>
      </c>
      <c r="F14" s="15" t="s">
        <v>340</v>
      </c>
      <c r="G14" s="12" t="s">
        <v>1280</v>
      </c>
      <c r="H14" s="12" t="s">
        <v>233</v>
      </c>
      <c r="I14" s="12" t="s">
        <v>3613</v>
      </c>
      <c r="J14" s="12" t="s">
        <v>1306</v>
      </c>
      <c r="K14" s="12" t="s">
        <v>3614</v>
      </c>
      <c r="L14" s="12" t="s">
        <v>3615</v>
      </c>
      <c r="M14" s="12" t="s">
        <v>2761</v>
      </c>
      <c r="N14" s="12" t="s">
        <v>3616</v>
      </c>
      <c r="O14" s="12" t="s">
        <v>187</v>
      </c>
      <c r="P14" s="12" t="s">
        <v>187</v>
      </c>
    </row>
    <row r="15" spans="1:16" ht="52" x14ac:dyDescent="0.35">
      <c r="A15" s="10" t="s">
        <v>157</v>
      </c>
      <c r="B15" s="10" t="s">
        <v>84</v>
      </c>
      <c r="C15" s="10" t="s">
        <v>3617</v>
      </c>
      <c r="D15" s="10" t="s">
        <v>3618</v>
      </c>
      <c r="E15" s="10" t="s">
        <v>3619</v>
      </c>
      <c r="F15" s="14" t="s">
        <v>3620</v>
      </c>
      <c r="G15" s="10" t="s">
        <v>3621</v>
      </c>
      <c r="H15" s="10" t="s">
        <v>233</v>
      </c>
      <c r="I15" s="10" t="s">
        <v>3622</v>
      </c>
      <c r="J15" s="10" t="s">
        <v>3623</v>
      </c>
      <c r="K15" s="10" t="s">
        <v>3624</v>
      </c>
      <c r="L15" s="10" t="s">
        <v>3212</v>
      </c>
      <c r="M15" s="10" t="s">
        <v>2779</v>
      </c>
      <c r="N15" s="10" t="s">
        <v>3625</v>
      </c>
      <c r="O15" s="10" t="s">
        <v>187</v>
      </c>
      <c r="P15" s="10" t="s">
        <v>187</v>
      </c>
    </row>
    <row r="16" spans="1:16" ht="50" x14ac:dyDescent="0.35">
      <c r="A16" s="12" t="s">
        <v>158</v>
      </c>
      <c r="B16" s="12" t="s">
        <v>84</v>
      </c>
      <c r="C16" s="12" t="s">
        <v>3626</v>
      </c>
      <c r="D16" s="12" t="s">
        <v>3627</v>
      </c>
      <c r="E16" s="12" t="s">
        <v>3628</v>
      </c>
      <c r="F16" s="13" t="s">
        <v>289</v>
      </c>
      <c r="G16" s="12" t="s">
        <v>589</v>
      </c>
      <c r="H16" s="12" t="s">
        <v>246</v>
      </c>
      <c r="I16" s="12" t="s">
        <v>3629</v>
      </c>
      <c r="J16" s="12" t="s">
        <v>3630</v>
      </c>
      <c r="K16" s="12" t="s">
        <v>3631</v>
      </c>
      <c r="L16" s="12" t="s">
        <v>3632</v>
      </c>
      <c r="M16" s="12" t="s">
        <v>2805</v>
      </c>
      <c r="N16" s="12" t="s">
        <v>3633</v>
      </c>
      <c r="O16" s="12" t="s">
        <v>3634</v>
      </c>
      <c r="P16" s="12" t="s">
        <v>3635</v>
      </c>
    </row>
    <row r="17" spans="1:16" ht="39" x14ac:dyDescent="0.35">
      <c r="A17" s="10" t="s">
        <v>159</v>
      </c>
      <c r="B17" s="10" t="s">
        <v>84</v>
      </c>
      <c r="C17" s="10" t="s">
        <v>594</v>
      </c>
      <c r="D17" s="10" t="s">
        <v>3636</v>
      </c>
      <c r="E17" s="10" t="s">
        <v>3637</v>
      </c>
      <c r="F17" s="16" t="s">
        <v>3638</v>
      </c>
      <c r="G17" s="10" t="s">
        <v>3639</v>
      </c>
      <c r="H17" s="10" t="s">
        <v>246</v>
      </c>
      <c r="I17" s="10" t="s">
        <v>3640</v>
      </c>
      <c r="J17" s="10" t="s">
        <v>3641</v>
      </c>
      <c r="K17" s="10" t="s">
        <v>3642</v>
      </c>
      <c r="L17" s="10" t="s">
        <v>3643</v>
      </c>
      <c r="M17" s="10" t="s">
        <v>2805</v>
      </c>
      <c r="N17" s="10" t="s">
        <v>3644</v>
      </c>
      <c r="O17" s="10" t="s">
        <v>187</v>
      </c>
      <c r="P17" s="10" t="s">
        <v>187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400-00000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2E75B6"/>
  </sheetPr>
  <dimension ref="A1:P19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3645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92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94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3646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3647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3648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93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3649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62.5" x14ac:dyDescent="0.35">
      <c r="A13" s="10" t="s">
        <v>155</v>
      </c>
      <c r="B13" s="10" t="s">
        <v>84</v>
      </c>
      <c r="C13" s="10" t="s">
        <v>3650</v>
      </c>
      <c r="D13" s="10" t="s">
        <v>3651</v>
      </c>
      <c r="E13" s="10" t="s">
        <v>3652</v>
      </c>
      <c r="F13" s="14" t="s">
        <v>326</v>
      </c>
      <c r="G13" s="10" t="s">
        <v>3653</v>
      </c>
      <c r="H13" s="10" t="s">
        <v>3654</v>
      </c>
      <c r="I13" s="10" t="s">
        <v>3655</v>
      </c>
      <c r="J13" s="10" t="s">
        <v>1205</v>
      </c>
      <c r="K13" s="10" t="s">
        <v>3656</v>
      </c>
      <c r="L13" s="10" t="s">
        <v>3657</v>
      </c>
      <c r="M13" s="10" t="s">
        <v>2375</v>
      </c>
      <c r="N13" s="10" t="s">
        <v>187</v>
      </c>
      <c r="O13" s="10" t="s">
        <v>187</v>
      </c>
      <c r="P13" s="10" t="s">
        <v>3658</v>
      </c>
    </row>
    <row r="14" spans="1:16" ht="37.5" x14ac:dyDescent="0.35">
      <c r="A14" s="12" t="s">
        <v>156</v>
      </c>
      <c r="B14" s="12" t="s">
        <v>84</v>
      </c>
      <c r="C14" s="12" t="s">
        <v>1208</v>
      </c>
      <c r="D14" s="12" t="s">
        <v>3659</v>
      </c>
      <c r="E14" s="12" t="s">
        <v>3660</v>
      </c>
      <c r="F14" s="16" t="s">
        <v>385</v>
      </c>
      <c r="G14" s="12" t="s">
        <v>1334</v>
      </c>
      <c r="H14" s="12" t="s">
        <v>3604</v>
      </c>
      <c r="I14" s="12" t="s">
        <v>3661</v>
      </c>
      <c r="J14" s="12" t="s">
        <v>1336</v>
      </c>
      <c r="K14" s="12" t="s">
        <v>3662</v>
      </c>
      <c r="L14" s="12" t="s">
        <v>3663</v>
      </c>
      <c r="M14" s="12" t="s">
        <v>3664</v>
      </c>
      <c r="N14" s="12" t="s">
        <v>187</v>
      </c>
      <c r="O14" s="12" t="s">
        <v>187</v>
      </c>
      <c r="P14" s="12" t="s">
        <v>3366</v>
      </c>
    </row>
    <row r="15" spans="1:16" ht="25" x14ac:dyDescent="0.35">
      <c r="A15" s="10" t="s">
        <v>157</v>
      </c>
      <c r="B15" s="10" t="s">
        <v>3665</v>
      </c>
      <c r="C15" s="10" t="s">
        <v>187</v>
      </c>
      <c r="D15" s="10" t="s">
        <v>3666</v>
      </c>
      <c r="E15" s="10" t="s">
        <v>2603</v>
      </c>
      <c r="F15" s="14" t="s">
        <v>326</v>
      </c>
      <c r="G15" s="10" t="s">
        <v>3667</v>
      </c>
      <c r="H15" s="10" t="s">
        <v>208</v>
      </c>
      <c r="I15" s="10" t="s">
        <v>2617</v>
      </c>
      <c r="J15" s="10" t="s">
        <v>991</v>
      </c>
      <c r="K15" s="10" t="s">
        <v>3668</v>
      </c>
      <c r="L15" s="10" t="s">
        <v>3669</v>
      </c>
      <c r="M15" s="10" t="s">
        <v>3670</v>
      </c>
      <c r="N15" s="10" t="s">
        <v>187</v>
      </c>
      <c r="O15" s="10" t="s">
        <v>187</v>
      </c>
      <c r="P15" s="10" t="s">
        <v>187</v>
      </c>
    </row>
    <row r="16" spans="1:16" ht="25" x14ac:dyDescent="0.35">
      <c r="A16" s="12" t="s">
        <v>158</v>
      </c>
      <c r="B16" s="12" t="s">
        <v>3665</v>
      </c>
      <c r="C16" s="12" t="s">
        <v>187</v>
      </c>
      <c r="D16" s="12" t="s">
        <v>3671</v>
      </c>
      <c r="E16" s="12" t="s">
        <v>3672</v>
      </c>
      <c r="F16" s="12" t="s">
        <v>187</v>
      </c>
      <c r="G16" s="12" t="s">
        <v>3369</v>
      </c>
      <c r="H16" s="12" t="s">
        <v>233</v>
      </c>
      <c r="I16" s="12" t="s">
        <v>187</v>
      </c>
      <c r="J16" s="12" t="s">
        <v>3673</v>
      </c>
      <c r="K16" s="12" t="s">
        <v>3674</v>
      </c>
      <c r="L16" s="12" t="s">
        <v>187</v>
      </c>
      <c r="M16" s="12" t="s">
        <v>3675</v>
      </c>
      <c r="N16" s="12" t="s">
        <v>3676</v>
      </c>
      <c r="O16" s="12" t="s">
        <v>187</v>
      </c>
      <c r="P16" s="12" t="s">
        <v>187</v>
      </c>
    </row>
    <row r="17" spans="1:16" ht="37.5" x14ac:dyDescent="0.35">
      <c r="A17" s="10" t="s">
        <v>159</v>
      </c>
      <c r="B17" s="10" t="s">
        <v>3665</v>
      </c>
      <c r="C17" s="10" t="s">
        <v>187</v>
      </c>
      <c r="D17" s="10" t="s">
        <v>3677</v>
      </c>
      <c r="E17" s="10" t="s">
        <v>2609</v>
      </c>
      <c r="F17" s="13" t="s">
        <v>289</v>
      </c>
      <c r="G17" s="10" t="s">
        <v>583</v>
      </c>
      <c r="H17" s="10" t="s">
        <v>3678</v>
      </c>
      <c r="I17" s="10" t="s">
        <v>2621</v>
      </c>
      <c r="J17" s="10" t="s">
        <v>3679</v>
      </c>
      <c r="K17" s="10" t="s">
        <v>3680</v>
      </c>
      <c r="L17" s="10" t="s">
        <v>3681</v>
      </c>
      <c r="M17" s="10" t="s">
        <v>3682</v>
      </c>
      <c r="N17" s="10" t="s">
        <v>3683</v>
      </c>
      <c r="O17" s="10" t="s">
        <v>3684</v>
      </c>
      <c r="P17" s="10" t="s">
        <v>3685</v>
      </c>
    </row>
    <row r="18" spans="1:16" ht="37.5" x14ac:dyDescent="0.35">
      <c r="A18" s="12" t="s">
        <v>160</v>
      </c>
      <c r="B18" s="12" t="s">
        <v>3665</v>
      </c>
      <c r="C18" s="12" t="s">
        <v>187</v>
      </c>
      <c r="D18" s="12" t="s">
        <v>3686</v>
      </c>
      <c r="E18" s="12" t="s">
        <v>3687</v>
      </c>
      <c r="F18" s="13" t="s">
        <v>289</v>
      </c>
      <c r="G18" s="12" t="s">
        <v>824</v>
      </c>
      <c r="H18" s="12" t="s">
        <v>259</v>
      </c>
      <c r="I18" s="12" t="s">
        <v>3688</v>
      </c>
      <c r="J18" s="12" t="s">
        <v>3689</v>
      </c>
      <c r="K18" s="12" t="s">
        <v>3690</v>
      </c>
      <c r="L18" s="12" t="s">
        <v>3691</v>
      </c>
      <c r="M18" s="12" t="s">
        <v>3692</v>
      </c>
      <c r="N18" s="12" t="s">
        <v>187</v>
      </c>
      <c r="O18" s="12" t="s">
        <v>3214</v>
      </c>
      <c r="P18" s="12" t="s">
        <v>3693</v>
      </c>
    </row>
    <row r="19" spans="1:16" ht="25" x14ac:dyDescent="0.35">
      <c r="A19" s="10" t="s">
        <v>161</v>
      </c>
      <c r="B19" s="10" t="s">
        <v>54</v>
      </c>
      <c r="C19" s="10" t="s">
        <v>3694</v>
      </c>
      <c r="D19" s="10" t="s">
        <v>3695</v>
      </c>
      <c r="E19" s="10" t="s">
        <v>3696</v>
      </c>
      <c r="F19" s="14" t="s">
        <v>326</v>
      </c>
      <c r="G19" s="10" t="s">
        <v>3697</v>
      </c>
      <c r="H19" s="10" t="s">
        <v>3698</v>
      </c>
      <c r="I19" s="10" t="s">
        <v>3699</v>
      </c>
      <c r="J19" s="10" t="s">
        <v>3700</v>
      </c>
      <c r="K19" s="10" t="s">
        <v>3701</v>
      </c>
      <c r="L19" s="10" t="s">
        <v>187</v>
      </c>
      <c r="M19" s="10" t="s">
        <v>2375</v>
      </c>
      <c r="N19" s="10" t="s">
        <v>187</v>
      </c>
      <c r="O19" s="10" t="s">
        <v>3702</v>
      </c>
      <c r="P19" s="10" t="s">
        <v>3703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500-000000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2E75B6"/>
  </sheetPr>
  <dimension ref="A1:P22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3704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97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99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3705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3706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3707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98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3708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2852</v>
      </c>
      <c r="C13" s="10" t="s">
        <v>3709</v>
      </c>
      <c r="D13" s="10" t="s">
        <v>3710</v>
      </c>
      <c r="E13" s="10" t="s">
        <v>3711</v>
      </c>
      <c r="F13" s="10" t="s">
        <v>187</v>
      </c>
      <c r="G13" s="10" t="s">
        <v>3527</v>
      </c>
      <c r="H13" s="10" t="s">
        <v>233</v>
      </c>
      <c r="I13" s="10" t="s">
        <v>187</v>
      </c>
      <c r="J13" s="10" t="s">
        <v>3712</v>
      </c>
      <c r="K13" s="10" t="s">
        <v>3713</v>
      </c>
      <c r="L13" s="10" t="s">
        <v>187</v>
      </c>
      <c r="M13" s="10" t="s">
        <v>2773</v>
      </c>
      <c r="N13" s="10" t="s">
        <v>3714</v>
      </c>
      <c r="O13" s="10" t="s">
        <v>187</v>
      </c>
      <c r="P13" s="10" t="s">
        <v>187</v>
      </c>
    </row>
    <row r="14" spans="1:16" ht="37.5" x14ac:dyDescent="0.35">
      <c r="A14" s="12" t="s">
        <v>156</v>
      </c>
      <c r="B14" s="12" t="s">
        <v>84</v>
      </c>
      <c r="C14" s="12" t="s">
        <v>3715</v>
      </c>
      <c r="D14" s="12" t="s">
        <v>3716</v>
      </c>
      <c r="E14" s="12" t="s">
        <v>3717</v>
      </c>
      <c r="F14" s="16" t="s">
        <v>3718</v>
      </c>
      <c r="G14" s="12" t="s">
        <v>3719</v>
      </c>
      <c r="H14" s="12" t="s">
        <v>233</v>
      </c>
      <c r="I14" s="12" t="s">
        <v>3720</v>
      </c>
      <c r="J14" s="12" t="s">
        <v>3721</v>
      </c>
      <c r="K14" s="12" t="s">
        <v>3722</v>
      </c>
      <c r="L14" s="12" t="s">
        <v>187</v>
      </c>
      <c r="M14" s="12" t="s">
        <v>2773</v>
      </c>
      <c r="N14" s="12" t="s">
        <v>3723</v>
      </c>
      <c r="O14" s="12" t="s">
        <v>187</v>
      </c>
      <c r="P14" s="12" t="s">
        <v>187</v>
      </c>
    </row>
    <row r="15" spans="1:16" ht="62.5" x14ac:dyDescent="0.35">
      <c r="A15" s="10" t="s">
        <v>157</v>
      </c>
      <c r="B15" s="10" t="s">
        <v>2900</v>
      </c>
      <c r="C15" s="10" t="s">
        <v>3724</v>
      </c>
      <c r="D15" s="10" t="s">
        <v>3725</v>
      </c>
      <c r="E15" s="10" t="s">
        <v>3726</v>
      </c>
      <c r="F15" s="13" t="s">
        <v>289</v>
      </c>
      <c r="G15" s="10" t="s">
        <v>1363</v>
      </c>
      <c r="H15" s="10" t="s">
        <v>233</v>
      </c>
      <c r="I15" s="10" t="s">
        <v>3727</v>
      </c>
      <c r="J15" s="10" t="s">
        <v>3728</v>
      </c>
      <c r="K15" s="10" t="s">
        <v>3729</v>
      </c>
      <c r="L15" s="10" t="s">
        <v>187</v>
      </c>
      <c r="M15" s="10" t="s">
        <v>3730</v>
      </c>
      <c r="N15" s="10" t="s">
        <v>3731</v>
      </c>
      <c r="O15" s="10" t="s">
        <v>187</v>
      </c>
      <c r="P15" s="10" t="s">
        <v>3732</v>
      </c>
    </row>
    <row r="16" spans="1:16" ht="37.5" x14ac:dyDescent="0.35">
      <c r="A16" s="12" t="s">
        <v>158</v>
      </c>
      <c r="B16" s="12" t="s">
        <v>3733</v>
      </c>
      <c r="C16" s="12" t="s">
        <v>3734</v>
      </c>
      <c r="D16" s="12" t="s">
        <v>3735</v>
      </c>
      <c r="E16" s="12" t="s">
        <v>3736</v>
      </c>
      <c r="F16" s="14" t="s">
        <v>326</v>
      </c>
      <c r="G16" s="12" t="s">
        <v>3737</v>
      </c>
      <c r="H16" s="12" t="s">
        <v>233</v>
      </c>
      <c r="I16" s="12" t="s">
        <v>3738</v>
      </c>
      <c r="J16" s="12" t="s">
        <v>1537</v>
      </c>
      <c r="K16" s="12" t="s">
        <v>3739</v>
      </c>
      <c r="L16" s="12" t="s">
        <v>187</v>
      </c>
      <c r="M16" s="12" t="s">
        <v>2375</v>
      </c>
      <c r="N16" s="12" t="s">
        <v>187</v>
      </c>
      <c r="O16" s="12" t="s">
        <v>187</v>
      </c>
      <c r="P16" s="12" t="s">
        <v>3740</v>
      </c>
    </row>
    <row r="17" spans="1:16" ht="25" x14ac:dyDescent="0.35">
      <c r="A17" s="10" t="s">
        <v>159</v>
      </c>
      <c r="B17" s="10" t="s">
        <v>84</v>
      </c>
      <c r="C17" s="10" t="s">
        <v>3741</v>
      </c>
      <c r="D17" s="10" t="s">
        <v>3742</v>
      </c>
      <c r="E17" s="10" t="s">
        <v>3717</v>
      </c>
      <c r="F17" s="16" t="s">
        <v>385</v>
      </c>
      <c r="G17" s="10" t="s">
        <v>1568</v>
      </c>
      <c r="H17" s="10" t="s">
        <v>233</v>
      </c>
      <c r="I17" s="10" t="s">
        <v>3743</v>
      </c>
      <c r="J17" s="10" t="s">
        <v>1570</v>
      </c>
      <c r="K17" s="10" t="s">
        <v>3744</v>
      </c>
      <c r="L17" s="10" t="s">
        <v>3212</v>
      </c>
      <c r="M17" s="10" t="s">
        <v>2789</v>
      </c>
      <c r="N17" s="10" t="s">
        <v>3745</v>
      </c>
      <c r="O17" s="10" t="s">
        <v>187</v>
      </c>
      <c r="P17" s="10" t="s">
        <v>187</v>
      </c>
    </row>
    <row r="18" spans="1:16" ht="50" x14ac:dyDescent="0.35">
      <c r="A18" s="12" t="s">
        <v>160</v>
      </c>
      <c r="B18" s="12" t="s">
        <v>84</v>
      </c>
      <c r="C18" s="12" t="s">
        <v>3746</v>
      </c>
      <c r="D18" s="12" t="s">
        <v>3747</v>
      </c>
      <c r="E18" s="12" t="s">
        <v>3717</v>
      </c>
      <c r="F18" s="16" t="s">
        <v>385</v>
      </c>
      <c r="G18" s="12" t="s">
        <v>1574</v>
      </c>
      <c r="H18" s="12" t="s">
        <v>233</v>
      </c>
      <c r="I18" s="12" t="s">
        <v>3748</v>
      </c>
      <c r="J18" s="12" t="s">
        <v>3749</v>
      </c>
      <c r="K18" s="12" t="s">
        <v>3750</v>
      </c>
      <c r="L18" s="12" t="s">
        <v>3751</v>
      </c>
      <c r="M18" s="12" t="s">
        <v>2789</v>
      </c>
      <c r="N18" s="12" t="s">
        <v>3752</v>
      </c>
      <c r="O18" s="12" t="s">
        <v>3753</v>
      </c>
      <c r="P18" s="12" t="s">
        <v>187</v>
      </c>
    </row>
    <row r="19" spans="1:16" ht="37.5" x14ac:dyDescent="0.35">
      <c r="A19" s="10" t="s">
        <v>161</v>
      </c>
      <c r="B19" s="10" t="s">
        <v>3326</v>
      </c>
      <c r="C19" s="10" t="s">
        <v>187</v>
      </c>
      <c r="D19" s="10" t="s">
        <v>3754</v>
      </c>
      <c r="E19" s="10" t="s">
        <v>2552</v>
      </c>
      <c r="F19" s="14" t="s">
        <v>326</v>
      </c>
      <c r="G19" s="10" t="s">
        <v>1453</v>
      </c>
      <c r="H19" s="10" t="s">
        <v>233</v>
      </c>
      <c r="I19" s="10" t="s">
        <v>2581</v>
      </c>
      <c r="J19" s="10" t="s">
        <v>3755</v>
      </c>
      <c r="K19" s="10" t="s">
        <v>3756</v>
      </c>
      <c r="L19" s="10" t="s">
        <v>3757</v>
      </c>
      <c r="M19" s="10" t="s">
        <v>2375</v>
      </c>
      <c r="N19" s="10" t="s">
        <v>187</v>
      </c>
      <c r="O19" s="10" t="s">
        <v>187</v>
      </c>
      <c r="P19" s="10" t="s">
        <v>3758</v>
      </c>
    </row>
    <row r="20" spans="1:16" ht="25" x14ac:dyDescent="0.35">
      <c r="A20" s="12" t="s">
        <v>162</v>
      </c>
      <c r="B20" s="12" t="s">
        <v>3326</v>
      </c>
      <c r="C20" s="12" t="s">
        <v>187</v>
      </c>
      <c r="D20" s="12" t="s">
        <v>3759</v>
      </c>
      <c r="E20" s="12" t="s">
        <v>2559</v>
      </c>
      <c r="F20" s="13" t="s">
        <v>289</v>
      </c>
      <c r="G20" s="12" t="s">
        <v>577</v>
      </c>
      <c r="H20" s="12" t="s">
        <v>221</v>
      </c>
      <c r="I20" s="12" t="s">
        <v>3760</v>
      </c>
      <c r="J20" s="12" t="s">
        <v>579</v>
      </c>
      <c r="K20" s="12" t="s">
        <v>3761</v>
      </c>
      <c r="L20" s="12" t="s">
        <v>3762</v>
      </c>
      <c r="M20" s="12" t="s">
        <v>3682</v>
      </c>
      <c r="N20" s="12" t="s">
        <v>3763</v>
      </c>
      <c r="O20" s="12" t="s">
        <v>187</v>
      </c>
      <c r="P20" s="12" t="s">
        <v>3764</v>
      </c>
    </row>
    <row r="21" spans="1:16" ht="37.5" x14ac:dyDescent="0.35">
      <c r="A21" s="10" t="s">
        <v>3765</v>
      </c>
      <c r="B21" s="10" t="s">
        <v>3460</v>
      </c>
      <c r="C21" s="10" t="s">
        <v>3746</v>
      </c>
      <c r="D21" s="10" t="s">
        <v>3766</v>
      </c>
      <c r="E21" s="10" t="s">
        <v>3717</v>
      </c>
      <c r="F21" s="16" t="s">
        <v>385</v>
      </c>
      <c r="G21" s="10" t="s">
        <v>1580</v>
      </c>
      <c r="H21" s="10" t="s">
        <v>233</v>
      </c>
      <c r="I21" s="10" t="s">
        <v>3767</v>
      </c>
      <c r="J21" s="10" t="s">
        <v>3768</v>
      </c>
      <c r="K21" s="10" t="s">
        <v>3769</v>
      </c>
      <c r="L21" s="10" t="s">
        <v>3770</v>
      </c>
      <c r="M21" s="10" t="s">
        <v>2789</v>
      </c>
      <c r="N21" s="10" t="s">
        <v>3771</v>
      </c>
      <c r="O21" s="10" t="s">
        <v>3772</v>
      </c>
      <c r="P21" s="10" t="s">
        <v>187</v>
      </c>
    </row>
    <row r="22" spans="1:16" ht="25" x14ac:dyDescent="0.35">
      <c r="A22" s="12" t="s">
        <v>3773</v>
      </c>
      <c r="B22" s="12" t="s">
        <v>2910</v>
      </c>
      <c r="C22" s="12" t="s">
        <v>3774</v>
      </c>
      <c r="D22" s="12" t="s">
        <v>3775</v>
      </c>
      <c r="E22" s="12" t="s">
        <v>3776</v>
      </c>
      <c r="F22" s="16" t="s">
        <v>385</v>
      </c>
      <c r="G22" s="12" t="s">
        <v>3777</v>
      </c>
      <c r="H22" s="12" t="s">
        <v>233</v>
      </c>
      <c r="I22" s="12" t="s">
        <v>3778</v>
      </c>
      <c r="J22" s="12" t="s">
        <v>3779</v>
      </c>
      <c r="K22" s="12" t="s">
        <v>3780</v>
      </c>
      <c r="L22" s="12" t="s">
        <v>187</v>
      </c>
      <c r="M22" s="12" t="s">
        <v>3781</v>
      </c>
      <c r="N22" s="12" t="s">
        <v>3782</v>
      </c>
      <c r="O22" s="12" t="s">
        <v>187</v>
      </c>
      <c r="P22" s="12" t="s">
        <v>187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600-000000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2E75B6"/>
  </sheetPr>
  <dimension ref="A1:P18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3783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84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103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3784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3785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3786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102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3787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62.5" x14ac:dyDescent="0.35">
      <c r="A13" s="10" t="s">
        <v>155</v>
      </c>
      <c r="B13" s="10" t="s">
        <v>84</v>
      </c>
      <c r="C13" s="10" t="s">
        <v>3788</v>
      </c>
      <c r="D13" s="10" t="s">
        <v>3789</v>
      </c>
      <c r="E13" s="10" t="s">
        <v>3717</v>
      </c>
      <c r="F13" s="13" t="s">
        <v>289</v>
      </c>
      <c r="G13" s="10" t="s">
        <v>1250</v>
      </c>
      <c r="H13" s="10" t="s">
        <v>233</v>
      </c>
      <c r="I13" s="10" t="s">
        <v>3790</v>
      </c>
      <c r="J13" s="10" t="s">
        <v>1252</v>
      </c>
      <c r="K13" s="10" t="s">
        <v>3791</v>
      </c>
      <c r="L13" s="10" t="s">
        <v>187</v>
      </c>
      <c r="M13" s="10" t="s">
        <v>2773</v>
      </c>
      <c r="N13" s="10" t="s">
        <v>3792</v>
      </c>
      <c r="O13" s="10" t="s">
        <v>187</v>
      </c>
      <c r="P13" s="10" t="s">
        <v>187</v>
      </c>
    </row>
    <row r="14" spans="1:16" ht="25" x14ac:dyDescent="0.35">
      <c r="A14" s="12" t="s">
        <v>156</v>
      </c>
      <c r="B14" s="12" t="s">
        <v>3665</v>
      </c>
      <c r="C14" s="12" t="s">
        <v>187</v>
      </c>
      <c r="D14" s="12" t="s">
        <v>3793</v>
      </c>
      <c r="E14" s="12" t="s">
        <v>3794</v>
      </c>
      <c r="F14" s="12" t="s">
        <v>187</v>
      </c>
      <c r="G14" s="12" t="s">
        <v>3369</v>
      </c>
      <c r="H14" s="12" t="s">
        <v>233</v>
      </c>
      <c r="I14" s="12" t="s">
        <v>187</v>
      </c>
      <c r="J14" s="12" t="s">
        <v>3795</v>
      </c>
      <c r="K14" s="12" t="s">
        <v>3796</v>
      </c>
      <c r="L14" s="12" t="s">
        <v>187</v>
      </c>
      <c r="M14" s="12" t="s">
        <v>2785</v>
      </c>
      <c r="N14" s="12" t="s">
        <v>3797</v>
      </c>
      <c r="O14" s="12" t="s">
        <v>187</v>
      </c>
      <c r="P14" s="12" t="s">
        <v>187</v>
      </c>
    </row>
    <row r="15" spans="1:16" ht="25" x14ac:dyDescent="0.35">
      <c r="A15" s="10" t="s">
        <v>157</v>
      </c>
      <c r="B15" s="10" t="s">
        <v>3665</v>
      </c>
      <c r="C15" s="10" t="s">
        <v>187</v>
      </c>
      <c r="D15" s="10" t="s">
        <v>3798</v>
      </c>
      <c r="E15" s="10" t="s">
        <v>3799</v>
      </c>
      <c r="F15" s="10" t="s">
        <v>187</v>
      </c>
      <c r="G15" s="10" t="s">
        <v>3369</v>
      </c>
      <c r="H15" s="10" t="s">
        <v>233</v>
      </c>
      <c r="I15" s="10" t="s">
        <v>187</v>
      </c>
      <c r="J15" s="10" t="s">
        <v>187</v>
      </c>
      <c r="K15" s="10" t="s">
        <v>3800</v>
      </c>
      <c r="L15" s="10" t="s">
        <v>187</v>
      </c>
      <c r="M15" s="10" t="s">
        <v>2789</v>
      </c>
      <c r="N15" s="10" t="s">
        <v>3801</v>
      </c>
      <c r="O15" s="10" t="s">
        <v>187</v>
      </c>
      <c r="P15" s="10" t="s">
        <v>187</v>
      </c>
    </row>
    <row r="16" spans="1:16" ht="25" x14ac:dyDescent="0.35">
      <c r="A16" s="12" t="s">
        <v>158</v>
      </c>
      <c r="B16" s="12" t="s">
        <v>3665</v>
      </c>
      <c r="C16" s="12" t="s">
        <v>187</v>
      </c>
      <c r="D16" s="12" t="s">
        <v>3802</v>
      </c>
      <c r="E16" s="12" t="s">
        <v>2615</v>
      </c>
      <c r="F16" s="14" t="s">
        <v>326</v>
      </c>
      <c r="G16" s="12" t="s">
        <v>988</v>
      </c>
      <c r="H16" s="12" t="s">
        <v>208</v>
      </c>
      <c r="I16" s="12" t="s">
        <v>2617</v>
      </c>
      <c r="J16" s="12" t="s">
        <v>991</v>
      </c>
      <c r="K16" s="12" t="s">
        <v>3803</v>
      </c>
      <c r="L16" s="12" t="s">
        <v>3804</v>
      </c>
      <c r="M16" s="12" t="s">
        <v>2375</v>
      </c>
      <c r="N16" s="12" t="s">
        <v>187</v>
      </c>
      <c r="O16" s="12" t="s">
        <v>187</v>
      </c>
      <c r="P16" s="12" t="s">
        <v>187</v>
      </c>
    </row>
    <row r="17" spans="1:16" ht="50" x14ac:dyDescent="0.35">
      <c r="A17" s="10" t="s">
        <v>159</v>
      </c>
      <c r="B17" s="10" t="s">
        <v>3665</v>
      </c>
      <c r="C17" s="10" t="s">
        <v>187</v>
      </c>
      <c r="D17" s="10" t="s">
        <v>3805</v>
      </c>
      <c r="E17" s="10" t="s">
        <v>3806</v>
      </c>
      <c r="F17" s="13" t="s">
        <v>289</v>
      </c>
      <c r="G17" s="10" t="s">
        <v>3807</v>
      </c>
      <c r="H17" s="10" t="s">
        <v>3808</v>
      </c>
      <c r="I17" s="10" t="s">
        <v>3809</v>
      </c>
      <c r="J17" s="10" t="s">
        <v>3810</v>
      </c>
      <c r="K17" s="10" t="s">
        <v>3811</v>
      </c>
      <c r="L17" s="10" t="s">
        <v>3812</v>
      </c>
      <c r="M17" s="10" t="s">
        <v>3813</v>
      </c>
      <c r="N17" s="10" t="s">
        <v>3683</v>
      </c>
      <c r="O17" s="10" t="s">
        <v>3814</v>
      </c>
      <c r="P17" s="10" t="s">
        <v>3815</v>
      </c>
    </row>
    <row r="18" spans="1:16" ht="25" x14ac:dyDescent="0.35">
      <c r="A18" s="12" t="s">
        <v>160</v>
      </c>
      <c r="B18" s="12" t="s">
        <v>3460</v>
      </c>
      <c r="C18" s="12" t="s">
        <v>3816</v>
      </c>
      <c r="D18" s="12" t="s">
        <v>3817</v>
      </c>
      <c r="E18" s="12" t="s">
        <v>3717</v>
      </c>
      <c r="F18" s="13" t="s">
        <v>289</v>
      </c>
      <c r="G18" s="12" t="s">
        <v>1257</v>
      </c>
      <c r="H18" s="12" t="s">
        <v>233</v>
      </c>
      <c r="I18" s="12" t="s">
        <v>3818</v>
      </c>
      <c r="J18" s="12" t="s">
        <v>1259</v>
      </c>
      <c r="K18" s="12" t="s">
        <v>3819</v>
      </c>
      <c r="L18" s="12" t="s">
        <v>187</v>
      </c>
      <c r="M18" s="12" t="s">
        <v>3820</v>
      </c>
      <c r="N18" s="12" t="s">
        <v>187</v>
      </c>
      <c r="O18" s="12" t="s">
        <v>187</v>
      </c>
      <c r="P18" s="12" t="s">
        <v>3821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700-000000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2E75B6"/>
  </sheetPr>
  <dimension ref="A1:P17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3822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54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107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3823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3824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3825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106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3826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54</v>
      </c>
      <c r="C13" s="10" t="s">
        <v>3827</v>
      </c>
      <c r="D13" s="10" t="s">
        <v>3828</v>
      </c>
      <c r="E13" s="10" t="s">
        <v>3829</v>
      </c>
      <c r="F13" s="14" t="s">
        <v>326</v>
      </c>
      <c r="G13" s="10" t="s">
        <v>3830</v>
      </c>
      <c r="H13" s="10" t="s">
        <v>208</v>
      </c>
      <c r="I13" s="10" t="s">
        <v>3831</v>
      </c>
      <c r="J13" s="10" t="s">
        <v>187</v>
      </c>
      <c r="K13" s="10" t="s">
        <v>3832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3833</v>
      </c>
    </row>
    <row r="14" spans="1:16" ht="62.5" x14ac:dyDescent="0.35">
      <c r="A14" s="12" t="s">
        <v>156</v>
      </c>
      <c r="B14" s="12" t="s">
        <v>54</v>
      </c>
      <c r="C14" s="12" t="s">
        <v>428</v>
      </c>
      <c r="D14" s="12" t="s">
        <v>3834</v>
      </c>
      <c r="E14" s="12" t="s">
        <v>3835</v>
      </c>
      <c r="F14" s="13" t="s">
        <v>289</v>
      </c>
      <c r="G14" s="12" t="s">
        <v>514</v>
      </c>
      <c r="H14" s="12" t="s">
        <v>3678</v>
      </c>
      <c r="I14" s="12" t="s">
        <v>3836</v>
      </c>
      <c r="J14" s="12" t="s">
        <v>516</v>
      </c>
      <c r="K14" s="12" t="s">
        <v>3837</v>
      </c>
      <c r="L14" s="12" t="s">
        <v>3838</v>
      </c>
      <c r="M14" s="12" t="s">
        <v>3682</v>
      </c>
      <c r="N14" s="12" t="s">
        <v>3839</v>
      </c>
      <c r="O14" s="12" t="s">
        <v>3840</v>
      </c>
      <c r="P14" s="12" t="s">
        <v>3841</v>
      </c>
    </row>
    <row r="15" spans="1:16" ht="39" x14ac:dyDescent="0.35">
      <c r="A15" s="10" t="s">
        <v>157</v>
      </c>
      <c r="B15" s="10" t="s">
        <v>54</v>
      </c>
      <c r="C15" s="10" t="s">
        <v>3842</v>
      </c>
      <c r="D15" s="10" t="s">
        <v>3843</v>
      </c>
      <c r="E15" s="10" t="s">
        <v>3844</v>
      </c>
      <c r="F15" s="13" t="s">
        <v>3845</v>
      </c>
      <c r="G15" s="10" t="s">
        <v>421</v>
      </c>
      <c r="H15" s="10" t="s">
        <v>221</v>
      </c>
      <c r="I15" s="10" t="s">
        <v>3846</v>
      </c>
      <c r="J15" s="10" t="s">
        <v>424</v>
      </c>
      <c r="K15" s="10" t="s">
        <v>3847</v>
      </c>
      <c r="L15" s="10" t="s">
        <v>3212</v>
      </c>
      <c r="M15" s="10" t="s">
        <v>3848</v>
      </c>
      <c r="N15" s="10" t="s">
        <v>187</v>
      </c>
      <c r="O15" s="10" t="s">
        <v>187</v>
      </c>
      <c r="P15" s="10" t="s">
        <v>3849</v>
      </c>
    </row>
    <row r="16" spans="1:16" ht="37.5" x14ac:dyDescent="0.35">
      <c r="A16" s="12" t="s">
        <v>158</v>
      </c>
      <c r="B16" s="12" t="s">
        <v>54</v>
      </c>
      <c r="C16" s="12" t="s">
        <v>3850</v>
      </c>
      <c r="D16" s="12" t="s">
        <v>3851</v>
      </c>
      <c r="E16" s="12" t="s">
        <v>3852</v>
      </c>
      <c r="F16" s="14" t="s">
        <v>326</v>
      </c>
      <c r="G16" s="12" t="s">
        <v>3853</v>
      </c>
      <c r="H16" s="12" t="s">
        <v>221</v>
      </c>
      <c r="I16" s="12" t="s">
        <v>3854</v>
      </c>
      <c r="J16" s="12" t="s">
        <v>187</v>
      </c>
      <c r="K16" s="12" t="s">
        <v>3855</v>
      </c>
      <c r="L16" s="12" t="s">
        <v>187</v>
      </c>
      <c r="M16" s="12" t="s">
        <v>2375</v>
      </c>
      <c r="N16" s="12" t="s">
        <v>187</v>
      </c>
      <c r="O16" s="12" t="s">
        <v>187</v>
      </c>
      <c r="P16" s="12" t="s">
        <v>3856</v>
      </c>
    </row>
    <row r="17" spans="1:16" ht="37.5" x14ac:dyDescent="0.35">
      <c r="A17" s="10" t="s">
        <v>159</v>
      </c>
      <c r="B17" s="10" t="s">
        <v>3301</v>
      </c>
      <c r="C17" s="10" t="s">
        <v>434</v>
      </c>
      <c r="D17" s="10" t="s">
        <v>3857</v>
      </c>
      <c r="E17" s="10" t="s">
        <v>3858</v>
      </c>
      <c r="F17" s="16" t="s">
        <v>385</v>
      </c>
      <c r="G17" s="10" t="s">
        <v>521</v>
      </c>
      <c r="H17" s="10" t="s">
        <v>221</v>
      </c>
      <c r="I17" s="10" t="s">
        <v>3859</v>
      </c>
      <c r="J17" s="10" t="s">
        <v>523</v>
      </c>
      <c r="K17" s="10" t="s">
        <v>3860</v>
      </c>
      <c r="L17" s="10" t="s">
        <v>3861</v>
      </c>
      <c r="M17" s="10" t="s">
        <v>3682</v>
      </c>
      <c r="N17" s="10" t="s">
        <v>3862</v>
      </c>
      <c r="O17" s="10" t="s">
        <v>3863</v>
      </c>
      <c r="P17" s="10" t="s">
        <v>187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800-000000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E75B6"/>
  </sheetPr>
  <dimension ref="A1:P20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3864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110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112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3865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3866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3867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111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3868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3869</v>
      </c>
      <c r="C13" s="10" t="s">
        <v>3870</v>
      </c>
      <c r="D13" s="10" t="s">
        <v>3871</v>
      </c>
      <c r="E13" s="10" t="s">
        <v>3872</v>
      </c>
      <c r="F13" s="14" t="s">
        <v>326</v>
      </c>
      <c r="G13" s="10" t="s">
        <v>3873</v>
      </c>
      <c r="H13" s="10" t="s">
        <v>3874</v>
      </c>
      <c r="I13" s="10" t="s">
        <v>3875</v>
      </c>
      <c r="J13" s="10" t="s">
        <v>483</v>
      </c>
      <c r="K13" s="10" t="s">
        <v>3876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3877</v>
      </c>
    </row>
    <row r="14" spans="1:16" ht="37.5" x14ac:dyDescent="0.35">
      <c r="A14" s="12" t="s">
        <v>156</v>
      </c>
      <c r="B14" s="12" t="s">
        <v>3869</v>
      </c>
      <c r="C14" s="12" t="s">
        <v>3878</v>
      </c>
      <c r="D14" s="12" t="s">
        <v>3879</v>
      </c>
      <c r="E14" s="12" t="s">
        <v>3880</v>
      </c>
      <c r="F14" s="14" t="s">
        <v>326</v>
      </c>
      <c r="G14" s="12" t="s">
        <v>3881</v>
      </c>
      <c r="H14" s="12" t="s">
        <v>221</v>
      </c>
      <c r="I14" s="12" t="s">
        <v>3882</v>
      </c>
      <c r="J14" s="12" t="s">
        <v>3883</v>
      </c>
      <c r="K14" s="12" t="s">
        <v>3884</v>
      </c>
      <c r="L14" s="12" t="s">
        <v>187</v>
      </c>
      <c r="M14" s="12" t="s">
        <v>2375</v>
      </c>
      <c r="N14" s="12" t="s">
        <v>187</v>
      </c>
      <c r="O14" s="12" t="s">
        <v>187</v>
      </c>
      <c r="P14" s="12" t="s">
        <v>3885</v>
      </c>
    </row>
    <row r="15" spans="1:16" ht="37.5" x14ac:dyDescent="0.35">
      <c r="A15" s="10" t="s">
        <v>157</v>
      </c>
      <c r="B15" s="10" t="s">
        <v>3869</v>
      </c>
      <c r="C15" s="10" t="s">
        <v>456</v>
      </c>
      <c r="D15" s="10" t="s">
        <v>3886</v>
      </c>
      <c r="E15" s="10" t="s">
        <v>3887</v>
      </c>
      <c r="F15" s="16" t="s">
        <v>385</v>
      </c>
      <c r="G15" s="10" t="s">
        <v>528</v>
      </c>
      <c r="H15" s="10" t="s">
        <v>221</v>
      </c>
      <c r="I15" s="10" t="s">
        <v>3888</v>
      </c>
      <c r="J15" s="10" t="s">
        <v>530</v>
      </c>
      <c r="K15" s="10" t="s">
        <v>3860</v>
      </c>
      <c r="L15" s="10" t="s">
        <v>3889</v>
      </c>
      <c r="M15" s="10" t="s">
        <v>3682</v>
      </c>
      <c r="N15" s="10" t="s">
        <v>3890</v>
      </c>
      <c r="O15" s="10" t="s">
        <v>3891</v>
      </c>
      <c r="P15" s="10" t="s">
        <v>187</v>
      </c>
    </row>
    <row r="16" spans="1:16" ht="37.5" x14ac:dyDescent="0.35">
      <c r="A16" s="12" t="s">
        <v>158</v>
      </c>
      <c r="B16" s="12" t="s">
        <v>3869</v>
      </c>
      <c r="C16" s="12" t="s">
        <v>456</v>
      </c>
      <c r="D16" s="12" t="s">
        <v>3892</v>
      </c>
      <c r="E16" s="12" t="s">
        <v>3893</v>
      </c>
      <c r="F16" s="16" t="s">
        <v>385</v>
      </c>
      <c r="G16" s="12" t="s">
        <v>535</v>
      </c>
      <c r="H16" s="12" t="s">
        <v>221</v>
      </c>
      <c r="I16" s="12" t="s">
        <v>3894</v>
      </c>
      <c r="J16" s="12" t="s">
        <v>3895</v>
      </c>
      <c r="K16" s="12" t="s">
        <v>3896</v>
      </c>
      <c r="L16" s="12" t="s">
        <v>3897</v>
      </c>
      <c r="M16" s="12" t="s">
        <v>3682</v>
      </c>
      <c r="N16" s="12" t="s">
        <v>3898</v>
      </c>
      <c r="O16" s="12" t="s">
        <v>3899</v>
      </c>
      <c r="P16" s="12" t="s">
        <v>3900</v>
      </c>
    </row>
    <row r="17" spans="1:16" ht="50" x14ac:dyDescent="0.35">
      <c r="A17" s="10" t="s">
        <v>159</v>
      </c>
      <c r="B17" s="10" t="s">
        <v>3901</v>
      </c>
      <c r="C17" s="10" t="s">
        <v>187</v>
      </c>
      <c r="D17" s="10" t="s">
        <v>3902</v>
      </c>
      <c r="E17" s="10" t="s">
        <v>2586</v>
      </c>
      <c r="F17" s="13" t="s">
        <v>289</v>
      </c>
      <c r="G17" s="10" t="s">
        <v>790</v>
      </c>
      <c r="H17" s="10" t="s">
        <v>246</v>
      </c>
      <c r="I17" s="10" t="s">
        <v>3903</v>
      </c>
      <c r="J17" s="10" t="s">
        <v>3904</v>
      </c>
      <c r="K17" s="10" t="s">
        <v>3905</v>
      </c>
      <c r="L17" s="10" t="s">
        <v>3906</v>
      </c>
      <c r="M17" s="10" t="s">
        <v>3907</v>
      </c>
      <c r="N17" s="10" t="s">
        <v>3908</v>
      </c>
      <c r="O17" s="10" t="s">
        <v>3909</v>
      </c>
      <c r="P17" s="10" t="s">
        <v>3910</v>
      </c>
    </row>
    <row r="18" spans="1:16" ht="37.5" x14ac:dyDescent="0.35">
      <c r="A18" s="12" t="s">
        <v>160</v>
      </c>
      <c r="B18" s="12" t="s">
        <v>3911</v>
      </c>
      <c r="C18" s="12" t="s">
        <v>456</v>
      </c>
      <c r="D18" s="12" t="s">
        <v>3912</v>
      </c>
      <c r="E18" s="12" t="s">
        <v>3913</v>
      </c>
      <c r="F18" s="16" t="s">
        <v>385</v>
      </c>
      <c r="G18" s="12" t="s">
        <v>542</v>
      </c>
      <c r="H18" s="12" t="s">
        <v>221</v>
      </c>
      <c r="I18" s="12" t="s">
        <v>3914</v>
      </c>
      <c r="J18" s="12" t="s">
        <v>544</v>
      </c>
      <c r="K18" s="12" t="s">
        <v>3915</v>
      </c>
      <c r="L18" s="12" t="s">
        <v>3916</v>
      </c>
      <c r="M18" s="12" t="s">
        <v>3682</v>
      </c>
      <c r="N18" s="12" t="s">
        <v>3917</v>
      </c>
      <c r="O18" s="12" t="s">
        <v>3918</v>
      </c>
      <c r="P18" s="12" t="s">
        <v>187</v>
      </c>
    </row>
    <row r="19" spans="1:16" ht="37.5" x14ac:dyDescent="0.35">
      <c r="A19" s="10" t="s">
        <v>161</v>
      </c>
      <c r="B19" s="10" t="s">
        <v>3869</v>
      </c>
      <c r="C19" s="10" t="s">
        <v>3919</v>
      </c>
      <c r="D19" s="10" t="s">
        <v>3920</v>
      </c>
      <c r="E19" s="10" t="s">
        <v>3921</v>
      </c>
      <c r="F19" s="16" t="s">
        <v>385</v>
      </c>
      <c r="G19" s="10" t="s">
        <v>549</v>
      </c>
      <c r="H19" s="10" t="s">
        <v>221</v>
      </c>
      <c r="I19" s="10" t="s">
        <v>3922</v>
      </c>
      <c r="J19" s="10" t="s">
        <v>551</v>
      </c>
      <c r="K19" s="10" t="s">
        <v>3923</v>
      </c>
      <c r="L19" s="10" t="s">
        <v>3924</v>
      </c>
      <c r="M19" s="10" t="s">
        <v>3682</v>
      </c>
      <c r="N19" s="10" t="s">
        <v>3925</v>
      </c>
      <c r="O19" s="10" t="s">
        <v>3926</v>
      </c>
      <c r="P19" s="10" t="s">
        <v>187</v>
      </c>
    </row>
    <row r="20" spans="1:16" x14ac:dyDescent="0.35">
      <c r="A20" s="12" t="s">
        <v>162</v>
      </c>
      <c r="B20" s="12" t="s">
        <v>3869</v>
      </c>
      <c r="C20" s="12" t="s">
        <v>494</v>
      </c>
      <c r="D20" s="12" t="s">
        <v>3424</v>
      </c>
      <c r="E20" s="12" t="s">
        <v>490</v>
      </c>
      <c r="F20" s="14" t="s">
        <v>326</v>
      </c>
      <c r="G20" s="12" t="s">
        <v>488</v>
      </c>
      <c r="H20" s="12" t="s">
        <v>221</v>
      </c>
      <c r="I20" s="12" t="s">
        <v>3927</v>
      </c>
      <c r="J20" s="12" t="s">
        <v>490</v>
      </c>
      <c r="K20" s="12" t="s">
        <v>3928</v>
      </c>
      <c r="L20" s="12" t="s">
        <v>187</v>
      </c>
      <c r="M20" s="12" t="s">
        <v>2375</v>
      </c>
      <c r="N20" s="12" t="s">
        <v>187</v>
      </c>
      <c r="O20" s="12" t="s">
        <v>187</v>
      </c>
      <c r="P20" s="12" t="s">
        <v>3929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900-000000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E75B6"/>
  </sheetPr>
  <dimension ref="A1:P19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3930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115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117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3931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3932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3933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116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3934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84</v>
      </c>
      <c r="C13" s="10" t="s">
        <v>3935</v>
      </c>
      <c r="D13" s="10" t="s">
        <v>3936</v>
      </c>
      <c r="E13" s="10" t="s">
        <v>3937</v>
      </c>
      <c r="F13" s="14" t="s">
        <v>326</v>
      </c>
      <c r="G13" s="10" t="s">
        <v>754</v>
      </c>
      <c r="H13" s="10" t="s">
        <v>246</v>
      </c>
      <c r="I13" s="10" t="s">
        <v>3938</v>
      </c>
      <c r="J13" s="10" t="s">
        <v>756</v>
      </c>
      <c r="K13" s="10" t="s">
        <v>3542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3939</v>
      </c>
    </row>
    <row r="14" spans="1:16" ht="37.5" x14ac:dyDescent="0.35">
      <c r="A14" s="12" t="s">
        <v>156</v>
      </c>
      <c r="B14" s="12" t="s">
        <v>3940</v>
      </c>
      <c r="C14" s="12" t="s">
        <v>3816</v>
      </c>
      <c r="D14" s="12" t="s">
        <v>3941</v>
      </c>
      <c r="E14" s="12" t="s">
        <v>3942</v>
      </c>
      <c r="F14" s="13" t="s">
        <v>289</v>
      </c>
      <c r="G14" s="12" t="s">
        <v>736</v>
      </c>
      <c r="H14" s="12" t="s">
        <v>246</v>
      </c>
      <c r="I14" s="12" t="s">
        <v>3943</v>
      </c>
      <c r="J14" s="12" t="s">
        <v>3904</v>
      </c>
      <c r="K14" s="12" t="s">
        <v>3944</v>
      </c>
      <c r="L14" s="12" t="s">
        <v>3945</v>
      </c>
      <c r="M14" s="12" t="s">
        <v>3907</v>
      </c>
      <c r="N14" s="12" t="s">
        <v>3908</v>
      </c>
      <c r="O14" s="12" t="s">
        <v>3909</v>
      </c>
      <c r="P14" s="12" t="s">
        <v>187</v>
      </c>
    </row>
    <row r="15" spans="1:16" ht="25" x14ac:dyDescent="0.35">
      <c r="A15" s="10" t="s">
        <v>157</v>
      </c>
      <c r="B15" s="10" t="s">
        <v>84</v>
      </c>
      <c r="C15" s="10" t="s">
        <v>767</v>
      </c>
      <c r="D15" s="10" t="s">
        <v>3946</v>
      </c>
      <c r="E15" s="10" t="s">
        <v>3947</v>
      </c>
      <c r="F15" s="16" t="s">
        <v>385</v>
      </c>
      <c r="G15" s="10" t="s">
        <v>761</v>
      </c>
      <c r="H15" s="10" t="s">
        <v>246</v>
      </c>
      <c r="I15" s="10" t="s">
        <v>3948</v>
      </c>
      <c r="J15" s="10" t="s">
        <v>763</v>
      </c>
      <c r="K15" s="10" t="s">
        <v>3949</v>
      </c>
      <c r="L15" s="10" t="s">
        <v>3950</v>
      </c>
      <c r="M15" s="10" t="s">
        <v>2801</v>
      </c>
      <c r="N15" s="10" t="s">
        <v>3951</v>
      </c>
      <c r="O15" s="10" t="s">
        <v>187</v>
      </c>
      <c r="P15" s="10" t="s">
        <v>187</v>
      </c>
    </row>
    <row r="16" spans="1:16" ht="62.5" x14ac:dyDescent="0.35">
      <c r="A16" s="12" t="s">
        <v>158</v>
      </c>
      <c r="B16" s="12" t="s">
        <v>84</v>
      </c>
      <c r="C16" s="12" t="s">
        <v>767</v>
      </c>
      <c r="D16" s="12" t="s">
        <v>3952</v>
      </c>
      <c r="E16" s="12" t="s">
        <v>3953</v>
      </c>
      <c r="F16" s="16" t="s">
        <v>385</v>
      </c>
      <c r="G16" s="12" t="s">
        <v>769</v>
      </c>
      <c r="H16" s="12" t="s">
        <v>246</v>
      </c>
      <c r="I16" s="12" t="s">
        <v>3954</v>
      </c>
      <c r="J16" s="12" t="s">
        <v>771</v>
      </c>
      <c r="K16" s="12" t="s">
        <v>3955</v>
      </c>
      <c r="L16" s="12" t="s">
        <v>3956</v>
      </c>
      <c r="M16" s="12" t="s">
        <v>3957</v>
      </c>
      <c r="N16" s="12" t="s">
        <v>3958</v>
      </c>
      <c r="O16" s="12" t="s">
        <v>3959</v>
      </c>
      <c r="P16" s="12" t="s">
        <v>187</v>
      </c>
    </row>
    <row r="17" spans="1:16" ht="37.5" x14ac:dyDescent="0.35">
      <c r="A17" s="10" t="s">
        <v>159</v>
      </c>
      <c r="B17" s="10" t="s">
        <v>3460</v>
      </c>
      <c r="C17" s="10" t="s">
        <v>767</v>
      </c>
      <c r="D17" s="10" t="s">
        <v>3960</v>
      </c>
      <c r="E17" s="10" t="s">
        <v>3961</v>
      </c>
      <c r="F17" s="16" t="s">
        <v>385</v>
      </c>
      <c r="G17" s="10" t="s">
        <v>3962</v>
      </c>
      <c r="H17" s="10" t="s">
        <v>246</v>
      </c>
      <c r="I17" s="10" t="s">
        <v>3963</v>
      </c>
      <c r="J17" s="10" t="s">
        <v>3964</v>
      </c>
      <c r="K17" s="10" t="s">
        <v>3965</v>
      </c>
      <c r="L17" s="10" t="s">
        <v>3966</v>
      </c>
      <c r="M17" s="10" t="s">
        <v>2801</v>
      </c>
      <c r="N17" s="10" t="s">
        <v>3967</v>
      </c>
      <c r="O17" s="10" t="s">
        <v>3968</v>
      </c>
      <c r="P17" s="10" t="s">
        <v>187</v>
      </c>
    </row>
    <row r="18" spans="1:16" ht="25" x14ac:dyDescent="0.35">
      <c r="A18" s="12" t="s">
        <v>160</v>
      </c>
      <c r="B18" s="12" t="s">
        <v>54</v>
      </c>
      <c r="C18" s="12" t="s">
        <v>3969</v>
      </c>
      <c r="D18" s="12" t="s">
        <v>3970</v>
      </c>
      <c r="E18" s="12" t="s">
        <v>3971</v>
      </c>
      <c r="F18" s="14" t="s">
        <v>326</v>
      </c>
      <c r="G18" s="12" t="s">
        <v>806</v>
      </c>
      <c r="H18" s="12" t="s">
        <v>246</v>
      </c>
      <c r="I18" s="12" t="s">
        <v>3972</v>
      </c>
      <c r="J18" s="12" t="s">
        <v>808</v>
      </c>
      <c r="K18" s="12" t="s">
        <v>3973</v>
      </c>
      <c r="L18" s="12" t="s">
        <v>3974</v>
      </c>
      <c r="M18" s="12" t="s">
        <v>2375</v>
      </c>
      <c r="N18" s="12" t="s">
        <v>187</v>
      </c>
      <c r="O18" s="12" t="s">
        <v>187</v>
      </c>
      <c r="P18" s="12" t="s">
        <v>3975</v>
      </c>
    </row>
    <row r="19" spans="1:16" x14ac:dyDescent="0.35">
      <c r="A19" s="10" t="s">
        <v>161</v>
      </c>
      <c r="B19" s="10" t="s">
        <v>84</v>
      </c>
      <c r="C19" s="10" t="s">
        <v>767</v>
      </c>
      <c r="D19" s="10" t="s">
        <v>3970</v>
      </c>
      <c r="E19" s="10" t="s">
        <v>3976</v>
      </c>
      <c r="F19" s="14" t="s">
        <v>326</v>
      </c>
      <c r="G19" s="10" t="s">
        <v>813</v>
      </c>
      <c r="H19" s="10" t="s">
        <v>246</v>
      </c>
      <c r="I19" s="10" t="s">
        <v>3977</v>
      </c>
      <c r="J19" s="10" t="s">
        <v>815</v>
      </c>
      <c r="K19" s="10" t="s">
        <v>3542</v>
      </c>
      <c r="L19" s="10" t="s">
        <v>3974</v>
      </c>
      <c r="M19" s="10" t="s">
        <v>2375</v>
      </c>
      <c r="N19" s="10" t="s">
        <v>187</v>
      </c>
      <c r="O19" s="10" t="s">
        <v>187</v>
      </c>
      <c r="P19" s="10" t="s">
        <v>3975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A00-000000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2E75B6"/>
  </sheetPr>
  <dimension ref="A1:P21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3978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120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122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3979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3980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3981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121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3982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6" x14ac:dyDescent="0.35">
      <c r="A13" s="10" t="s">
        <v>155</v>
      </c>
      <c r="B13" s="10" t="s">
        <v>3983</v>
      </c>
      <c r="C13" s="10" t="s">
        <v>3984</v>
      </c>
      <c r="D13" s="10" t="s">
        <v>3985</v>
      </c>
      <c r="E13" s="10" t="s">
        <v>3986</v>
      </c>
      <c r="F13" s="14" t="s">
        <v>3987</v>
      </c>
      <c r="G13" s="10" t="s">
        <v>3988</v>
      </c>
      <c r="H13" s="10" t="s">
        <v>3265</v>
      </c>
      <c r="I13" s="10" t="s">
        <v>3989</v>
      </c>
      <c r="J13" s="10" t="s">
        <v>3990</v>
      </c>
      <c r="K13" s="10" t="s">
        <v>3991</v>
      </c>
      <c r="L13" s="10" t="s">
        <v>187</v>
      </c>
      <c r="M13" s="10" t="s">
        <v>187</v>
      </c>
      <c r="N13" s="10" t="s">
        <v>187</v>
      </c>
      <c r="O13" s="10" t="s">
        <v>3992</v>
      </c>
      <c r="P13" s="10" t="s">
        <v>3993</v>
      </c>
    </row>
    <row r="14" spans="1:16" ht="25" x14ac:dyDescent="0.35">
      <c r="A14" s="12" t="s">
        <v>156</v>
      </c>
      <c r="B14" s="12" t="s">
        <v>3983</v>
      </c>
      <c r="C14" s="12" t="s">
        <v>3994</v>
      </c>
      <c r="D14" s="12" t="s">
        <v>3995</v>
      </c>
      <c r="E14" s="12" t="s">
        <v>3996</v>
      </c>
      <c r="F14" s="14" t="s">
        <v>326</v>
      </c>
      <c r="G14" s="12" t="s">
        <v>841</v>
      </c>
      <c r="H14" s="12" t="s">
        <v>259</v>
      </c>
      <c r="I14" s="12" t="s">
        <v>3997</v>
      </c>
      <c r="J14" s="12" t="s">
        <v>843</v>
      </c>
      <c r="K14" s="12" t="s">
        <v>3998</v>
      </c>
      <c r="L14" s="12" t="s">
        <v>187</v>
      </c>
      <c r="M14" s="12" t="s">
        <v>2375</v>
      </c>
      <c r="N14" s="12" t="s">
        <v>187</v>
      </c>
      <c r="O14" s="12" t="s">
        <v>187</v>
      </c>
      <c r="P14" s="12" t="s">
        <v>3999</v>
      </c>
    </row>
    <row r="15" spans="1:16" ht="37.5" x14ac:dyDescent="0.35">
      <c r="A15" s="10" t="s">
        <v>157</v>
      </c>
      <c r="B15" s="10" t="s">
        <v>4000</v>
      </c>
      <c r="C15" s="10" t="s">
        <v>4001</v>
      </c>
      <c r="D15" s="10" t="s">
        <v>4002</v>
      </c>
      <c r="E15" s="10" t="s">
        <v>4003</v>
      </c>
      <c r="F15" s="14" t="s">
        <v>326</v>
      </c>
      <c r="G15" s="10" t="s">
        <v>829</v>
      </c>
      <c r="H15" s="10" t="s">
        <v>259</v>
      </c>
      <c r="I15" s="10" t="s">
        <v>4004</v>
      </c>
      <c r="J15" s="10" t="s">
        <v>4005</v>
      </c>
      <c r="K15" s="10" t="s">
        <v>4006</v>
      </c>
      <c r="L15" s="10" t="s">
        <v>187</v>
      </c>
      <c r="M15" s="10" t="s">
        <v>2375</v>
      </c>
      <c r="N15" s="10" t="s">
        <v>187</v>
      </c>
      <c r="O15" s="10" t="s">
        <v>187</v>
      </c>
      <c r="P15" s="10" t="s">
        <v>4007</v>
      </c>
    </row>
    <row r="16" spans="1:16" ht="39" x14ac:dyDescent="0.35">
      <c r="A16" s="12" t="s">
        <v>158</v>
      </c>
      <c r="B16" s="12" t="s">
        <v>4000</v>
      </c>
      <c r="C16" s="12" t="s">
        <v>4008</v>
      </c>
      <c r="D16" s="12" t="s">
        <v>4009</v>
      </c>
      <c r="E16" s="12" t="s">
        <v>4010</v>
      </c>
      <c r="F16" s="16" t="s">
        <v>3638</v>
      </c>
      <c r="G16" s="12" t="s">
        <v>4011</v>
      </c>
      <c r="H16" s="12" t="s">
        <v>259</v>
      </c>
      <c r="I16" s="12" t="s">
        <v>4012</v>
      </c>
      <c r="J16" s="12" t="s">
        <v>4013</v>
      </c>
      <c r="K16" s="12" t="s">
        <v>4014</v>
      </c>
      <c r="L16" s="12" t="s">
        <v>187</v>
      </c>
      <c r="M16" s="12" t="s">
        <v>2827</v>
      </c>
      <c r="N16" s="12" t="s">
        <v>4015</v>
      </c>
      <c r="O16" s="12" t="s">
        <v>187</v>
      </c>
      <c r="P16" s="12" t="s">
        <v>4016</v>
      </c>
    </row>
    <row r="17" spans="1:16" ht="26" x14ac:dyDescent="0.35">
      <c r="A17" s="10" t="s">
        <v>159</v>
      </c>
      <c r="B17" s="10" t="s">
        <v>54</v>
      </c>
      <c r="C17" s="10" t="s">
        <v>896</v>
      </c>
      <c r="D17" s="10" t="s">
        <v>4017</v>
      </c>
      <c r="E17" s="10" t="s">
        <v>4018</v>
      </c>
      <c r="F17" s="14" t="s">
        <v>4019</v>
      </c>
      <c r="G17" s="10" t="s">
        <v>890</v>
      </c>
      <c r="H17" s="10" t="s">
        <v>259</v>
      </c>
      <c r="I17" s="10" t="s">
        <v>4020</v>
      </c>
      <c r="J17" s="10" t="s">
        <v>4021</v>
      </c>
      <c r="K17" s="10" t="s">
        <v>4022</v>
      </c>
      <c r="L17" s="10" t="s">
        <v>187</v>
      </c>
      <c r="M17" s="10" t="s">
        <v>2828</v>
      </c>
      <c r="N17" s="10" t="s">
        <v>187</v>
      </c>
      <c r="O17" s="10" t="s">
        <v>187</v>
      </c>
      <c r="P17" s="10" t="s">
        <v>3562</v>
      </c>
    </row>
    <row r="18" spans="1:16" ht="39" x14ac:dyDescent="0.35">
      <c r="A18" s="12" t="s">
        <v>160</v>
      </c>
      <c r="B18" s="12" t="s">
        <v>84</v>
      </c>
      <c r="C18" s="12" t="s">
        <v>4023</v>
      </c>
      <c r="D18" s="12" t="s">
        <v>4024</v>
      </c>
      <c r="E18" s="12" t="s">
        <v>4025</v>
      </c>
      <c r="F18" s="14" t="s">
        <v>4026</v>
      </c>
      <c r="G18" s="12" t="s">
        <v>4027</v>
      </c>
      <c r="H18" s="12" t="s">
        <v>259</v>
      </c>
      <c r="I18" s="12" t="s">
        <v>4028</v>
      </c>
      <c r="J18" s="12" t="s">
        <v>4029</v>
      </c>
      <c r="K18" s="12" t="s">
        <v>3542</v>
      </c>
      <c r="L18" s="12" t="s">
        <v>187</v>
      </c>
      <c r="M18" s="12" t="s">
        <v>2827</v>
      </c>
      <c r="N18" s="12" t="s">
        <v>187</v>
      </c>
      <c r="O18" s="12" t="s">
        <v>187</v>
      </c>
      <c r="P18" s="12" t="s">
        <v>4030</v>
      </c>
    </row>
    <row r="19" spans="1:16" ht="50" x14ac:dyDescent="0.35">
      <c r="A19" s="10" t="s">
        <v>161</v>
      </c>
      <c r="B19" s="10" t="s">
        <v>84</v>
      </c>
      <c r="C19" s="10" t="s">
        <v>846</v>
      </c>
      <c r="D19" s="10" t="s">
        <v>4031</v>
      </c>
      <c r="E19" s="10" t="s">
        <v>4032</v>
      </c>
      <c r="F19" s="14" t="s">
        <v>4033</v>
      </c>
      <c r="G19" s="10" t="s">
        <v>4034</v>
      </c>
      <c r="H19" s="10" t="s">
        <v>259</v>
      </c>
      <c r="I19" s="10" t="s">
        <v>4035</v>
      </c>
      <c r="J19" s="10" t="s">
        <v>4036</v>
      </c>
      <c r="K19" s="10" t="s">
        <v>3542</v>
      </c>
      <c r="L19" s="10" t="s">
        <v>187</v>
      </c>
      <c r="M19" s="10" t="s">
        <v>4037</v>
      </c>
      <c r="N19" s="10" t="s">
        <v>187</v>
      </c>
      <c r="O19" s="10" t="s">
        <v>187</v>
      </c>
      <c r="P19" s="10" t="s">
        <v>187</v>
      </c>
    </row>
    <row r="20" spans="1:16" ht="25" x14ac:dyDescent="0.35">
      <c r="A20" s="12" t="s">
        <v>162</v>
      </c>
      <c r="B20" s="12" t="s">
        <v>4038</v>
      </c>
      <c r="C20" s="12" t="s">
        <v>4039</v>
      </c>
      <c r="D20" s="12" t="s">
        <v>4040</v>
      </c>
      <c r="E20" s="12" t="s">
        <v>4041</v>
      </c>
      <c r="F20" s="14" t="s">
        <v>326</v>
      </c>
      <c r="G20" s="12" t="s">
        <v>4042</v>
      </c>
      <c r="H20" s="12" t="s">
        <v>259</v>
      </c>
      <c r="I20" s="12" t="s">
        <v>4043</v>
      </c>
      <c r="J20" s="12" t="s">
        <v>4044</v>
      </c>
      <c r="K20" s="12" t="s">
        <v>4045</v>
      </c>
      <c r="L20" s="12" t="s">
        <v>187</v>
      </c>
      <c r="M20" s="12" t="s">
        <v>3268</v>
      </c>
      <c r="N20" s="12" t="s">
        <v>187</v>
      </c>
      <c r="O20" s="12" t="s">
        <v>187</v>
      </c>
      <c r="P20" s="12" t="s">
        <v>4046</v>
      </c>
    </row>
    <row r="21" spans="1:16" ht="25" x14ac:dyDescent="0.35">
      <c r="A21" s="10" t="s">
        <v>3765</v>
      </c>
      <c r="B21" s="10" t="s">
        <v>2852</v>
      </c>
      <c r="C21" s="10" t="s">
        <v>268</v>
      </c>
      <c r="D21" s="10" t="s">
        <v>4047</v>
      </c>
      <c r="E21" s="10" t="s">
        <v>1608</v>
      </c>
      <c r="F21" s="10" t="s">
        <v>187</v>
      </c>
      <c r="G21" s="10" t="s">
        <v>3527</v>
      </c>
      <c r="H21" s="10" t="s">
        <v>259</v>
      </c>
      <c r="I21" s="10" t="s">
        <v>187</v>
      </c>
      <c r="J21" s="10" t="s">
        <v>4048</v>
      </c>
      <c r="K21" s="10" t="s">
        <v>187</v>
      </c>
      <c r="L21" s="10" t="s">
        <v>187</v>
      </c>
      <c r="M21" s="10" t="s">
        <v>4049</v>
      </c>
      <c r="N21" s="10" t="s">
        <v>187</v>
      </c>
      <c r="O21" s="10" t="s">
        <v>187</v>
      </c>
      <c r="P21" s="10" t="s">
        <v>187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B00-000000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2E75B6"/>
  </sheetPr>
  <dimension ref="A1:P18"/>
  <sheetViews>
    <sheetView showGridLines="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4050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84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126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4051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3596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4052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125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4053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50" x14ac:dyDescent="0.35">
      <c r="A13" s="10" t="s">
        <v>155</v>
      </c>
      <c r="B13" s="10" t="s">
        <v>84</v>
      </c>
      <c r="C13" s="10" t="s">
        <v>4054</v>
      </c>
      <c r="D13" s="10" t="s">
        <v>3389</v>
      </c>
      <c r="E13" s="10" t="s">
        <v>4055</v>
      </c>
      <c r="F13" s="14" t="s">
        <v>326</v>
      </c>
      <c r="G13" s="10" t="s">
        <v>4056</v>
      </c>
      <c r="H13" s="10" t="s">
        <v>4057</v>
      </c>
      <c r="I13" s="10" t="s">
        <v>4058</v>
      </c>
      <c r="J13" s="10" t="s">
        <v>187</v>
      </c>
      <c r="K13" s="10" t="s">
        <v>3542</v>
      </c>
      <c r="L13" s="10" t="s">
        <v>187</v>
      </c>
      <c r="M13" s="10" t="s">
        <v>2375</v>
      </c>
      <c r="N13" s="10" t="s">
        <v>187</v>
      </c>
      <c r="O13" s="10" t="s">
        <v>187</v>
      </c>
      <c r="P13" s="10" t="s">
        <v>4059</v>
      </c>
    </row>
    <row r="14" spans="1:16" x14ac:dyDescent="0.35">
      <c r="A14" s="12" t="s">
        <v>156</v>
      </c>
      <c r="B14" s="12" t="s">
        <v>84</v>
      </c>
      <c r="C14" s="12" t="s">
        <v>4060</v>
      </c>
      <c r="D14" s="12" t="s">
        <v>4061</v>
      </c>
      <c r="E14" s="12" t="s">
        <v>4062</v>
      </c>
      <c r="F14" s="14" t="s">
        <v>326</v>
      </c>
      <c r="G14" s="12" t="s">
        <v>4063</v>
      </c>
      <c r="H14" s="12" t="s">
        <v>196</v>
      </c>
      <c r="I14" s="12" t="s">
        <v>4064</v>
      </c>
      <c r="J14" s="12" t="s">
        <v>399</v>
      </c>
      <c r="K14" s="12" t="s">
        <v>3542</v>
      </c>
      <c r="L14" s="12" t="s">
        <v>187</v>
      </c>
      <c r="M14" s="12" t="s">
        <v>2375</v>
      </c>
      <c r="N14" s="12" t="s">
        <v>187</v>
      </c>
      <c r="O14" s="12" t="s">
        <v>187</v>
      </c>
      <c r="P14" s="12" t="s">
        <v>4065</v>
      </c>
    </row>
    <row r="15" spans="1:16" ht="25" x14ac:dyDescent="0.35">
      <c r="A15" s="10" t="s">
        <v>157</v>
      </c>
      <c r="B15" s="10" t="s">
        <v>84</v>
      </c>
      <c r="C15" s="10" t="s">
        <v>4066</v>
      </c>
      <c r="D15" s="10" t="s">
        <v>4067</v>
      </c>
      <c r="E15" s="10" t="s">
        <v>4068</v>
      </c>
      <c r="F15" s="14" t="s">
        <v>326</v>
      </c>
      <c r="G15" s="10" t="s">
        <v>404</v>
      </c>
      <c r="H15" s="10" t="s">
        <v>196</v>
      </c>
      <c r="I15" s="10" t="s">
        <v>4069</v>
      </c>
      <c r="J15" s="10" t="s">
        <v>4070</v>
      </c>
      <c r="K15" s="10" t="s">
        <v>4071</v>
      </c>
      <c r="L15" s="10" t="s">
        <v>187</v>
      </c>
      <c r="M15" s="10" t="s">
        <v>2375</v>
      </c>
      <c r="N15" s="10" t="s">
        <v>187</v>
      </c>
      <c r="O15" s="10" t="s">
        <v>187</v>
      </c>
      <c r="P15" s="10" t="s">
        <v>4072</v>
      </c>
    </row>
    <row r="16" spans="1:16" ht="25" x14ac:dyDescent="0.35">
      <c r="A16" s="12" t="s">
        <v>158</v>
      </c>
      <c r="B16" s="12" t="s">
        <v>84</v>
      </c>
      <c r="C16" s="12" t="s">
        <v>418</v>
      </c>
      <c r="D16" s="12" t="s">
        <v>4073</v>
      </c>
      <c r="E16" s="12" t="s">
        <v>4074</v>
      </c>
      <c r="F16" s="16" t="s">
        <v>385</v>
      </c>
      <c r="G16" s="12" t="s">
        <v>412</v>
      </c>
      <c r="H16" s="12" t="s">
        <v>196</v>
      </c>
      <c r="I16" s="12" t="s">
        <v>4075</v>
      </c>
      <c r="J16" s="12" t="s">
        <v>414</v>
      </c>
      <c r="K16" s="12" t="s">
        <v>4076</v>
      </c>
      <c r="L16" s="12" t="s">
        <v>4077</v>
      </c>
      <c r="M16" s="12" t="s">
        <v>2707</v>
      </c>
      <c r="N16" s="12" t="s">
        <v>4078</v>
      </c>
      <c r="O16" s="12" t="s">
        <v>187</v>
      </c>
      <c r="P16" s="12" t="s">
        <v>4079</v>
      </c>
    </row>
    <row r="17" spans="1:16" ht="50" x14ac:dyDescent="0.35">
      <c r="A17" s="10" t="s">
        <v>159</v>
      </c>
      <c r="B17" s="10" t="s">
        <v>84</v>
      </c>
      <c r="C17" s="10" t="s">
        <v>4080</v>
      </c>
      <c r="D17" s="10" t="s">
        <v>4081</v>
      </c>
      <c r="E17" s="10" t="s">
        <v>4082</v>
      </c>
      <c r="F17" s="14" t="s">
        <v>326</v>
      </c>
      <c r="G17" s="10" t="s">
        <v>4083</v>
      </c>
      <c r="H17" s="10" t="s">
        <v>4084</v>
      </c>
      <c r="I17" s="10" t="s">
        <v>4085</v>
      </c>
      <c r="J17" s="10" t="s">
        <v>187</v>
      </c>
      <c r="K17" s="10" t="s">
        <v>3542</v>
      </c>
      <c r="L17" s="10" t="s">
        <v>187</v>
      </c>
      <c r="M17" s="10" t="s">
        <v>2375</v>
      </c>
      <c r="N17" s="10" t="s">
        <v>187</v>
      </c>
      <c r="O17" s="10" t="s">
        <v>187</v>
      </c>
      <c r="P17" s="10" t="s">
        <v>4086</v>
      </c>
    </row>
    <row r="18" spans="1:16" ht="37.5" x14ac:dyDescent="0.35">
      <c r="A18" s="12" t="s">
        <v>160</v>
      </c>
      <c r="B18" s="12" t="s">
        <v>4087</v>
      </c>
      <c r="C18" s="12" t="s">
        <v>4088</v>
      </c>
      <c r="D18" s="12" t="s">
        <v>4089</v>
      </c>
      <c r="E18" s="12" t="s">
        <v>4090</v>
      </c>
      <c r="F18" s="14" t="s">
        <v>326</v>
      </c>
      <c r="G18" s="12" t="s">
        <v>4091</v>
      </c>
      <c r="H18" s="12" t="s">
        <v>4092</v>
      </c>
      <c r="I18" s="12" t="s">
        <v>4093</v>
      </c>
      <c r="J18" s="12" t="s">
        <v>1599</v>
      </c>
      <c r="K18" s="12" t="s">
        <v>4094</v>
      </c>
      <c r="L18" s="12" t="s">
        <v>187</v>
      </c>
      <c r="M18" s="12" t="s">
        <v>2375</v>
      </c>
      <c r="N18" s="12" t="s">
        <v>187</v>
      </c>
      <c r="O18" s="12" t="s">
        <v>187</v>
      </c>
      <c r="P18" s="12" t="s">
        <v>4095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C00-000000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E75B6"/>
  </sheetPr>
  <dimension ref="A1:P22"/>
  <sheetViews>
    <sheetView showGridLines="0" tabSelected="1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8" customWidth="1"/>
    <col min="3" max="4" width="32" customWidth="1"/>
    <col min="5" max="5" width="40" customWidth="1"/>
    <col min="6" max="6" width="9" customWidth="1"/>
    <col min="7" max="7" width="44" customWidth="1"/>
    <col min="8" max="8" width="20" customWidth="1"/>
    <col min="9" max="9" width="34" customWidth="1"/>
    <col min="10" max="10" width="38" customWidth="1"/>
    <col min="11" max="12" width="55" customWidth="1"/>
    <col min="13" max="13" width="34" customWidth="1"/>
    <col min="14" max="14" width="30" customWidth="1"/>
    <col min="15" max="15" width="34" customWidth="1"/>
    <col min="16" max="16" width="36" customWidth="1"/>
  </cols>
  <sheetData>
    <row r="1" spans="1:16" ht="20" x14ac:dyDescent="0.4">
      <c r="A1" s="1" t="s">
        <v>4096</v>
      </c>
    </row>
    <row r="2" spans="1:16" x14ac:dyDescent="0.35">
      <c r="A2" s="11" t="s">
        <v>3131</v>
      </c>
    </row>
    <row r="4" spans="1:16" ht="30" customHeight="1" x14ac:dyDescent="0.35">
      <c r="A4" s="21" t="s">
        <v>3132</v>
      </c>
      <c r="B4" s="22"/>
      <c r="C4" s="23" t="s">
        <v>129</v>
      </c>
      <c r="D4" s="24"/>
      <c r="E4" s="24"/>
      <c r="F4" s="24"/>
      <c r="G4" s="24"/>
      <c r="H4" s="24"/>
      <c r="I4" s="24"/>
      <c r="J4" s="22"/>
    </row>
    <row r="5" spans="1:16" ht="30" customHeight="1" x14ac:dyDescent="0.35">
      <c r="A5" s="21" t="s">
        <v>41</v>
      </c>
      <c r="B5" s="22"/>
      <c r="C5" s="23" t="s">
        <v>131</v>
      </c>
      <c r="D5" s="24"/>
      <c r="E5" s="24"/>
      <c r="F5" s="24"/>
      <c r="G5" s="24"/>
      <c r="H5" s="24"/>
      <c r="I5" s="24"/>
      <c r="J5" s="22"/>
    </row>
    <row r="6" spans="1:16" ht="30" customHeight="1" x14ac:dyDescent="0.35">
      <c r="A6" s="21" t="s">
        <v>3133</v>
      </c>
      <c r="B6" s="22"/>
      <c r="C6" s="23" t="s">
        <v>4097</v>
      </c>
      <c r="D6" s="24"/>
      <c r="E6" s="24"/>
      <c r="F6" s="24"/>
      <c r="G6" s="24"/>
      <c r="H6" s="24"/>
      <c r="I6" s="24"/>
      <c r="J6" s="22"/>
    </row>
    <row r="7" spans="1:16" ht="30" customHeight="1" x14ac:dyDescent="0.35">
      <c r="A7" s="21" t="s">
        <v>3135</v>
      </c>
      <c r="B7" s="22"/>
      <c r="C7" s="23" t="s">
        <v>4098</v>
      </c>
      <c r="D7" s="24"/>
      <c r="E7" s="24"/>
      <c r="F7" s="24"/>
      <c r="G7" s="24"/>
      <c r="H7" s="24"/>
      <c r="I7" s="24"/>
      <c r="J7" s="22"/>
    </row>
    <row r="8" spans="1:16" ht="30" customHeight="1" x14ac:dyDescent="0.35">
      <c r="A8" s="21" t="s">
        <v>3137</v>
      </c>
      <c r="B8" s="22"/>
      <c r="C8" s="23" t="s">
        <v>4099</v>
      </c>
      <c r="D8" s="24"/>
      <c r="E8" s="24"/>
      <c r="F8" s="24"/>
      <c r="G8" s="24"/>
      <c r="H8" s="24"/>
      <c r="I8" s="24"/>
      <c r="J8" s="22"/>
    </row>
    <row r="9" spans="1:16" ht="30" customHeight="1" x14ac:dyDescent="0.35">
      <c r="A9" s="21" t="s">
        <v>39</v>
      </c>
      <c r="B9" s="22"/>
      <c r="C9" s="23" t="s">
        <v>130</v>
      </c>
      <c r="D9" s="24"/>
      <c r="E9" s="24"/>
      <c r="F9" s="24"/>
      <c r="G9" s="24"/>
      <c r="H9" s="24"/>
      <c r="I9" s="24"/>
      <c r="J9" s="22"/>
    </row>
    <row r="10" spans="1:16" x14ac:dyDescent="0.35">
      <c r="A10" s="21" t="s">
        <v>3139</v>
      </c>
      <c r="B10" s="22"/>
      <c r="C10" s="23" t="s">
        <v>4100</v>
      </c>
      <c r="D10" s="24"/>
      <c r="E10" s="24"/>
      <c r="F10" s="24"/>
      <c r="G10" s="24"/>
      <c r="H10" s="24"/>
      <c r="I10" s="24"/>
      <c r="J10" s="22"/>
    </row>
    <row r="12" spans="1:16" ht="26" x14ac:dyDescent="0.35">
      <c r="A12" s="8" t="s">
        <v>3141</v>
      </c>
      <c r="B12" s="8" t="s">
        <v>2840</v>
      </c>
      <c r="C12" s="8" t="s">
        <v>3142</v>
      </c>
      <c r="D12" s="8" t="s">
        <v>3143</v>
      </c>
      <c r="E12" s="8" t="s">
        <v>3144</v>
      </c>
      <c r="F12" s="8" t="s">
        <v>275</v>
      </c>
      <c r="G12" s="8" t="s">
        <v>3145</v>
      </c>
      <c r="H12" s="8" t="s">
        <v>2488</v>
      </c>
      <c r="I12" s="8" t="s">
        <v>281</v>
      </c>
      <c r="J12" s="8" t="s">
        <v>3146</v>
      </c>
      <c r="K12" s="8" t="s">
        <v>3147</v>
      </c>
      <c r="L12" s="8" t="s">
        <v>3148</v>
      </c>
      <c r="M12" s="8" t="s">
        <v>3149</v>
      </c>
      <c r="N12" s="8" t="s">
        <v>3150</v>
      </c>
      <c r="O12" s="8" t="s">
        <v>3151</v>
      </c>
      <c r="P12" s="8" t="s">
        <v>3152</v>
      </c>
    </row>
    <row r="13" spans="1:16" ht="25" x14ac:dyDescent="0.35">
      <c r="A13" s="10" t="s">
        <v>155</v>
      </c>
      <c r="B13" s="10" t="s">
        <v>2852</v>
      </c>
      <c r="C13" s="10" t="s">
        <v>4101</v>
      </c>
      <c r="D13" s="10" t="s">
        <v>4102</v>
      </c>
      <c r="E13" s="10" t="s">
        <v>4103</v>
      </c>
      <c r="F13" s="10" t="s">
        <v>187</v>
      </c>
      <c r="G13" s="10" t="s">
        <v>187</v>
      </c>
      <c r="H13" s="10" t="s">
        <v>208</v>
      </c>
      <c r="I13" s="10" t="s">
        <v>187</v>
      </c>
      <c r="J13" s="10" t="s">
        <v>4104</v>
      </c>
      <c r="K13" s="10" t="s">
        <v>4105</v>
      </c>
      <c r="L13" s="10" t="s">
        <v>4106</v>
      </c>
      <c r="M13" s="10" t="s">
        <v>3410</v>
      </c>
      <c r="N13" s="10" t="s">
        <v>2851</v>
      </c>
      <c r="O13" s="10" t="s">
        <v>4107</v>
      </c>
      <c r="P13" s="10" t="s">
        <v>187</v>
      </c>
    </row>
    <row r="14" spans="1:16" ht="25" x14ac:dyDescent="0.35">
      <c r="A14" s="12" t="s">
        <v>156</v>
      </c>
      <c r="B14" s="12" t="s">
        <v>2852</v>
      </c>
      <c r="C14" s="12" t="s">
        <v>4108</v>
      </c>
      <c r="D14" s="12" t="s">
        <v>4109</v>
      </c>
      <c r="E14" s="12" t="s">
        <v>4110</v>
      </c>
      <c r="F14" s="12" t="s">
        <v>187</v>
      </c>
      <c r="G14" s="12" t="s">
        <v>187</v>
      </c>
      <c r="H14" s="12" t="s">
        <v>208</v>
      </c>
      <c r="I14" s="12" t="s">
        <v>187</v>
      </c>
      <c r="J14" s="12" t="s">
        <v>4111</v>
      </c>
      <c r="K14" s="12" t="s">
        <v>4112</v>
      </c>
      <c r="L14" s="12" t="s">
        <v>4113</v>
      </c>
      <c r="M14" s="12" t="s">
        <v>2727</v>
      </c>
      <c r="N14" s="12" t="s">
        <v>4114</v>
      </c>
      <c r="O14" s="12" t="s">
        <v>4115</v>
      </c>
      <c r="P14" s="12" t="s">
        <v>187</v>
      </c>
    </row>
    <row r="15" spans="1:16" ht="25" x14ac:dyDescent="0.35">
      <c r="A15" s="10" t="s">
        <v>157</v>
      </c>
      <c r="B15" s="10" t="s">
        <v>2852</v>
      </c>
      <c r="C15" s="10" t="s">
        <v>4116</v>
      </c>
      <c r="D15" s="10" t="s">
        <v>4117</v>
      </c>
      <c r="E15" s="10" t="s">
        <v>4118</v>
      </c>
      <c r="F15" s="14" t="s">
        <v>326</v>
      </c>
      <c r="G15" s="10" t="s">
        <v>1230</v>
      </c>
      <c r="H15" s="10" t="s">
        <v>246</v>
      </c>
      <c r="I15" s="10" t="s">
        <v>187</v>
      </c>
      <c r="J15" s="10" t="s">
        <v>3572</v>
      </c>
      <c r="K15" s="10" t="s">
        <v>4119</v>
      </c>
      <c r="L15" s="10" t="s">
        <v>4120</v>
      </c>
      <c r="M15" s="10" t="s">
        <v>2805</v>
      </c>
      <c r="N15" s="10" t="s">
        <v>187</v>
      </c>
      <c r="O15" s="10" t="s">
        <v>187</v>
      </c>
      <c r="P15" s="10" t="s">
        <v>187</v>
      </c>
    </row>
    <row r="16" spans="1:16" ht="37.5" x14ac:dyDescent="0.35">
      <c r="A16" s="12" t="s">
        <v>158</v>
      </c>
      <c r="B16" s="12" t="s">
        <v>2852</v>
      </c>
      <c r="C16" s="12" t="s">
        <v>4121</v>
      </c>
      <c r="D16" s="12" t="s">
        <v>4122</v>
      </c>
      <c r="E16" s="12" t="s">
        <v>4123</v>
      </c>
      <c r="F16" s="12" t="s">
        <v>187</v>
      </c>
      <c r="G16" s="12" t="s">
        <v>187</v>
      </c>
      <c r="H16" s="12" t="s">
        <v>246</v>
      </c>
      <c r="I16" s="12" t="s">
        <v>187</v>
      </c>
      <c r="J16" s="12" t="s">
        <v>187</v>
      </c>
      <c r="K16" s="12" t="s">
        <v>4124</v>
      </c>
      <c r="L16" s="12" t="s">
        <v>4125</v>
      </c>
      <c r="M16" s="12" t="s">
        <v>2795</v>
      </c>
      <c r="N16" s="12" t="s">
        <v>2871</v>
      </c>
      <c r="O16" s="12" t="s">
        <v>187</v>
      </c>
      <c r="P16" s="12" t="s">
        <v>187</v>
      </c>
    </row>
    <row r="17" spans="1:16" ht="37.5" x14ac:dyDescent="0.35">
      <c r="A17" s="10" t="s">
        <v>159</v>
      </c>
      <c r="B17" s="10" t="s">
        <v>2852</v>
      </c>
      <c r="C17" s="10" t="s">
        <v>4126</v>
      </c>
      <c r="D17" s="10" t="s">
        <v>4127</v>
      </c>
      <c r="E17" s="10" t="s">
        <v>4128</v>
      </c>
      <c r="F17" s="10" t="s">
        <v>187</v>
      </c>
      <c r="G17" s="10" t="s">
        <v>187</v>
      </c>
      <c r="H17" s="10" t="s">
        <v>246</v>
      </c>
      <c r="I17" s="10" t="s">
        <v>187</v>
      </c>
      <c r="J17" s="10" t="s">
        <v>187</v>
      </c>
      <c r="K17" s="10" t="s">
        <v>4129</v>
      </c>
      <c r="L17" s="10" t="s">
        <v>4130</v>
      </c>
      <c r="M17" s="10" t="s">
        <v>2801</v>
      </c>
      <c r="N17" s="10" t="s">
        <v>2871</v>
      </c>
      <c r="O17" s="10" t="s">
        <v>187</v>
      </c>
      <c r="P17" s="10" t="s">
        <v>187</v>
      </c>
    </row>
    <row r="18" spans="1:16" ht="25" x14ac:dyDescent="0.35">
      <c r="A18" s="12" t="s">
        <v>160</v>
      </c>
      <c r="B18" s="12" t="s">
        <v>2852</v>
      </c>
      <c r="C18" s="12" t="s">
        <v>4131</v>
      </c>
      <c r="D18" s="12" t="s">
        <v>4132</v>
      </c>
      <c r="E18" s="12" t="s">
        <v>4133</v>
      </c>
      <c r="F18" s="12" t="s">
        <v>187</v>
      </c>
      <c r="G18" s="12" t="s">
        <v>187</v>
      </c>
      <c r="H18" s="12" t="s">
        <v>246</v>
      </c>
      <c r="I18" s="12" t="s">
        <v>187</v>
      </c>
      <c r="J18" s="12" t="s">
        <v>4134</v>
      </c>
      <c r="K18" s="12" t="s">
        <v>4135</v>
      </c>
      <c r="L18" s="12" t="s">
        <v>4136</v>
      </c>
      <c r="M18" s="12" t="s">
        <v>187</v>
      </c>
      <c r="N18" s="12" t="s">
        <v>187</v>
      </c>
      <c r="O18" s="12" t="s">
        <v>4137</v>
      </c>
      <c r="P18" s="12" t="s">
        <v>187</v>
      </c>
    </row>
    <row r="19" spans="1:16" ht="25" x14ac:dyDescent="0.35">
      <c r="A19" s="10" t="s">
        <v>161</v>
      </c>
      <c r="B19" s="10" t="s">
        <v>2852</v>
      </c>
      <c r="C19" s="10" t="s">
        <v>4138</v>
      </c>
      <c r="D19" s="10" t="s">
        <v>4139</v>
      </c>
      <c r="E19" s="10" t="s">
        <v>4140</v>
      </c>
      <c r="F19" s="10" t="s">
        <v>187</v>
      </c>
      <c r="G19" s="10" t="s">
        <v>187</v>
      </c>
      <c r="H19" s="10" t="s">
        <v>246</v>
      </c>
      <c r="I19" s="10" t="s">
        <v>187</v>
      </c>
      <c r="J19" s="10" t="s">
        <v>4141</v>
      </c>
      <c r="K19" s="10" t="s">
        <v>4142</v>
      </c>
      <c r="L19" s="10" t="s">
        <v>4143</v>
      </c>
      <c r="M19" s="10" t="s">
        <v>2812</v>
      </c>
      <c r="N19" s="10" t="s">
        <v>187</v>
      </c>
      <c r="O19" s="10" t="s">
        <v>4144</v>
      </c>
      <c r="P19" s="10" t="s">
        <v>187</v>
      </c>
    </row>
    <row r="20" spans="1:16" ht="25" x14ac:dyDescent="0.35">
      <c r="A20" s="12" t="s">
        <v>162</v>
      </c>
      <c r="B20" s="12" t="s">
        <v>2852</v>
      </c>
      <c r="C20" s="12" t="s">
        <v>4145</v>
      </c>
      <c r="D20" s="12" t="s">
        <v>4146</v>
      </c>
      <c r="E20" s="12" t="s">
        <v>4147</v>
      </c>
      <c r="F20" s="12" t="s">
        <v>187</v>
      </c>
      <c r="G20" s="12" t="s">
        <v>187</v>
      </c>
      <c r="H20" s="12" t="s">
        <v>233</v>
      </c>
      <c r="I20" s="12" t="s">
        <v>187</v>
      </c>
      <c r="J20" s="12" t="s">
        <v>4148</v>
      </c>
      <c r="K20" s="12" t="s">
        <v>4149</v>
      </c>
      <c r="L20" s="12" t="s">
        <v>187</v>
      </c>
      <c r="M20" s="12" t="s">
        <v>3730</v>
      </c>
      <c r="N20" s="12" t="s">
        <v>4150</v>
      </c>
      <c r="O20" s="12" t="s">
        <v>187</v>
      </c>
      <c r="P20" s="12" t="s">
        <v>187</v>
      </c>
    </row>
    <row r="21" spans="1:16" ht="25" x14ac:dyDescent="0.35">
      <c r="A21" s="10" t="s">
        <v>3765</v>
      </c>
      <c r="B21" s="10" t="s">
        <v>2852</v>
      </c>
      <c r="C21" s="10" t="s">
        <v>4151</v>
      </c>
      <c r="D21" s="10" t="s">
        <v>4152</v>
      </c>
      <c r="E21" s="10" t="s">
        <v>3711</v>
      </c>
      <c r="F21" s="10" t="s">
        <v>187</v>
      </c>
      <c r="G21" s="10" t="s">
        <v>187</v>
      </c>
      <c r="H21" s="10" t="s">
        <v>233</v>
      </c>
      <c r="I21" s="10" t="s">
        <v>187</v>
      </c>
      <c r="J21" s="10" t="s">
        <v>4153</v>
      </c>
      <c r="K21" s="10" t="s">
        <v>4154</v>
      </c>
      <c r="L21" s="10" t="s">
        <v>187</v>
      </c>
      <c r="M21" s="10" t="s">
        <v>2773</v>
      </c>
      <c r="N21" s="10" t="s">
        <v>187</v>
      </c>
      <c r="O21" s="10" t="s">
        <v>187</v>
      </c>
      <c r="P21" s="10" t="s">
        <v>187</v>
      </c>
    </row>
    <row r="22" spans="1:16" ht="25" x14ac:dyDescent="0.35">
      <c r="A22" s="12" t="s">
        <v>3773</v>
      </c>
      <c r="B22" s="12" t="s">
        <v>2852</v>
      </c>
      <c r="C22" s="12" t="s">
        <v>4155</v>
      </c>
      <c r="D22" s="12" t="s">
        <v>4156</v>
      </c>
      <c r="E22" s="12" t="s">
        <v>1608</v>
      </c>
      <c r="F22" s="12" t="s">
        <v>187</v>
      </c>
      <c r="G22" s="12" t="s">
        <v>187</v>
      </c>
      <c r="H22" s="12" t="s">
        <v>259</v>
      </c>
      <c r="I22" s="12" t="s">
        <v>187</v>
      </c>
      <c r="J22" s="12" t="s">
        <v>4048</v>
      </c>
      <c r="K22" s="12" t="s">
        <v>187</v>
      </c>
      <c r="L22" s="12" t="s">
        <v>187</v>
      </c>
      <c r="M22" s="12" t="s">
        <v>4049</v>
      </c>
      <c r="N22" s="12" t="s">
        <v>187</v>
      </c>
      <c r="O22" s="12" t="s">
        <v>187</v>
      </c>
      <c r="P22" s="12" t="s">
        <v>187</v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 xr:uid="{00000000-0004-0000-1D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Overview</vt:lpstr>
      <vt:lpstr>Microservices</vt:lpstr>
      <vt:lpstr>API Endpoints</vt:lpstr>
      <vt:lpstr>Service Methods</vt:lpstr>
      <vt:lpstr>Inter-Service Calls</vt:lpstr>
      <vt:lpstr>Data Model</vt:lpstr>
      <vt:lpstr>Status Lifecycles</vt:lpstr>
      <vt:lpstr>Frontend Pages</vt:lpstr>
      <vt:lpstr>UJ-01</vt:lpstr>
      <vt:lpstr>UJ-02</vt:lpstr>
      <vt:lpstr>UJ-03</vt:lpstr>
      <vt:lpstr>UJ-04</vt:lpstr>
      <vt:lpstr>UJ-05</vt:lpstr>
      <vt:lpstr>UJ-06</vt:lpstr>
      <vt:lpstr>UJ-07</vt:lpstr>
      <vt:lpstr>UJ-08</vt:lpstr>
      <vt:lpstr>UJ-09</vt:lpstr>
      <vt:lpstr>UJ-10</vt:lpstr>
      <vt:lpstr>UJ-11</vt:lpstr>
      <vt:lpstr>UJ-12</vt:lpstr>
      <vt:lpstr>UJ-13</vt:lpstr>
      <vt:lpstr>UJ-14</vt:lpstr>
      <vt:lpstr>UJ-15</vt:lpstr>
      <vt:lpstr>UJ-16</vt:lpstr>
      <vt:lpstr>UJ-17</vt:lpstr>
      <vt:lpstr>UJ-18</vt:lpstr>
      <vt:lpstr>UJ-19</vt:lpstr>
      <vt:lpstr>UJ-20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Chigullapally, Akshaya (Hartford India)</cp:lastModifiedBy>
  <dcterms:created xsi:type="dcterms:W3CDTF">2026-09-27T15:25:10Z</dcterms:created>
  <dcterms:modified xsi:type="dcterms:W3CDTF">2026-10-07T05:53:19Z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19c09-48dc-483e-8a5f-9e92f1cd9848_Enabled">
    <vt:lpwstr>true</vt:lpwstr>
  </property>
  <property fmtid="{D5CDD505-2E9C-101B-9397-08002B2CF9AE}" pid="3" name="MSIP_Label_36b19c09-48dc-483e-8a5f-9e92f1cd9848_SetDate">
    <vt:lpwstr>2026-09-27T15:32:15Z</vt:lpwstr>
  </property>
  <property fmtid="{D5CDD505-2E9C-101B-9397-08002B2CF9AE}" pid="4" name="MSIP_Label_36b19c09-48dc-483e-8a5f-9e92f1cd9848_Method">
    <vt:lpwstr>Privileged</vt:lpwstr>
  </property>
  <property fmtid="{D5CDD505-2E9C-101B-9397-08002B2CF9AE}" pid="5" name="MSIP_Label_36b19c09-48dc-483e-8a5f-9e92f1cd9848_Name">
    <vt:lpwstr>NC - Hide Footer</vt:lpwstr>
  </property>
  <property fmtid="{D5CDD505-2E9C-101B-9397-08002B2CF9AE}" pid="6" name="MSIP_Label_36b19c09-48dc-483e-8a5f-9e92f1cd9848_SiteId">
    <vt:lpwstr>a311fc62-83f4-45f0-9502-1bb2247d4c8d</vt:lpwstr>
  </property>
  <property fmtid="{D5CDD505-2E9C-101B-9397-08002B2CF9AE}" pid="7" name="MSIP_Label_36b19c09-48dc-483e-8a5f-9e92f1cd9848_ActionId">
    <vt:lpwstr>3eeca038-52d2-4705-a3a0-aec9448f2a07</vt:lpwstr>
  </property>
  <property fmtid="{D5CDD505-2E9C-101B-9397-08002B2CF9AE}" pid="8" name="MSIP_Label_36b19c09-48dc-483e-8a5f-9e92f1cd9848_ContentBits">
    <vt:lpwstr>0</vt:lpwstr>
  </property>
  <property fmtid="{D5CDD505-2E9C-101B-9397-08002B2CF9AE}" pid="9" name="MSIP_Label_36b19c09-48dc-483e-8a5f-9e92f1cd9848_Tag">
    <vt:lpwstr>10, 0, 1, 1</vt:lpwstr>
  </property>
</Properties>
</file>